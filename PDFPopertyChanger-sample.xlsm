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OneDrive\OneDrive - Renesas Electronics Corporation\TCI Share\Tools\"/>
    </mc:Choice>
  </mc:AlternateContent>
  <bookViews>
    <workbookView xWindow="0" yWindow="0" windowWidth="20055" windowHeight="9510"/>
  </bookViews>
  <sheets>
    <sheet name="info" sheetId="1" r:id="rId1"/>
    <sheet name="仕様書" sheetId="5" r:id="rId2"/>
    <sheet name="list" sheetId="4" state="hidden" r:id="rId3"/>
    <sheet name="propertylist" sheetId="3" state="hidden" r:id="rId4"/>
    <sheet name="savelist" sheetId="2" state="hidden" r:id="rId5"/>
  </sheets>
  <definedNames>
    <definedName name="flag">list!$A:$A</definedName>
    <definedName name="propertyname">propertylist!$A:$A</definedName>
    <definedName name="propertyvalue">propertylist!$B:$B</definedName>
    <definedName name="savediscription">savelist!$C:$C</definedName>
    <definedName name="savetype">savelist!$A:$A</definedName>
    <definedName name="savevalue">savelist!$B:$B</definedName>
    <definedName name="TitleFlag">list!$B:$B</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6" i="1" l="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 i="1"/>
  <c r="U26" i="1"/>
  <c r="AE26" i="1"/>
  <c r="AI26" i="1"/>
  <c r="AK26" i="1"/>
  <c r="U27" i="1"/>
  <c r="AE27" i="1"/>
  <c r="AI27" i="1"/>
  <c r="AK27" i="1"/>
  <c r="U28" i="1"/>
  <c r="AE28" i="1"/>
  <c r="AI28" i="1"/>
  <c r="AK28" i="1"/>
  <c r="U29" i="1"/>
  <c r="AE29" i="1"/>
  <c r="AI29" i="1"/>
  <c r="AK29" i="1"/>
  <c r="U30" i="1"/>
  <c r="AE30" i="1"/>
  <c r="AI30" i="1"/>
  <c r="AK30" i="1"/>
  <c r="U31" i="1"/>
  <c r="AE31" i="1"/>
  <c r="AI31" i="1"/>
  <c r="AK31" i="1"/>
  <c r="U32" i="1"/>
  <c r="AE32" i="1"/>
  <c r="AI32" i="1"/>
  <c r="AK32" i="1"/>
  <c r="U33" i="1"/>
  <c r="AE33" i="1"/>
  <c r="AI33" i="1"/>
  <c r="AK33" i="1"/>
  <c r="U34" i="1"/>
  <c r="AE34" i="1"/>
  <c r="AI34" i="1"/>
  <c r="AK34" i="1"/>
  <c r="U35" i="1"/>
  <c r="AE35" i="1"/>
  <c r="AI35" i="1"/>
  <c r="AK35" i="1"/>
  <c r="U36" i="1"/>
  <c r="AE36" i="1"/>
  <c r="AI36" i="1"/>
  <c r="AK36" i="1"/>
  <c r="U37" i="1"/>
  <c r="AE37" i="1"/>
  <c r="AI37" i="1"/>
  <c r="AK37" i="1"/>
  <c r="U38" i="1"/>
  <c r="AE38" i="1"/>
  <c r="AI38" i="1"/>
  <c r="AK38" i="1"/>
  <c r="U39" i="1"/>
  <c r="AE39" i="1"/>
  <c r="AI39" i="1"/>
  <c r="AK39" i="1"/>
  <c r="U40" i="1"/>
  <c r="AE40" i="1"/>
  <c r="AI40" i="1"/>
  <c r="AK40" i="1"/>
  <c r="U41" i="1"/>
  <c r="AE41" i="1"/>
  <c r="AI41" i="1"/>
  <c r="AK41" i="1"/>
  <c r="U42" i="1"/>
  <c r="AE42" i="1"/>
  <c r="AI42" i="1"/>
  <c r="AK42" i="1"/>
  <c r="U43" i="1"/>
  <c r="AE43" i="1"/>
  <c r="AI43" i="1"/>
  <c r="AK43" i="1"/>
  <c r="U44" i="1"/>
  <c r="AE44" i="1"/>
  <c r="AI44" i="1"/>
  <c r="AK44" i="1"/>
  <c r="U45" i="1"/>
  <c r="AE45" i="1"/>
  <c r="AI45" i="1"/>
  <c r="AK45" i="1"/>
  <c r="U46" i="1"/>
  <c r="AE46" i="1"/>
  <c r="AI46" i="1"/>
  <c r="AK46" i="1"/>
  <c r="U47" i="1"/>
  <c r="AE47" i="1"/>
  <c r="AI47" i="1"/>
  <c r="AK47" i="1"/>
  <c r="U48" i="1"/>
  <c r="AE48" i="1"/>
  <c r="AI48" i="1"/>
  <c r="AK48" i="1"/>
  <c r="U49" i="1"/>
  <c r="AE49" i="1"/>
  <c r="AI49" i="1"/>
  <c r="AK49" i="1"/>
  <c r="U50" i="1"/>
  <c r="AE50" i="1"/>
  <c r="AI50" i="1"/>
  <c r="AK50" i="1"/>
  <c r="U51" i="1"/>
  <c r="AE51" i="1"/>
  <c r="AI51" i="1"/>
  <c r="AK51" i="1"/>
  <c r="U52" i="1"/>
  <c r="AE52" i="1"/>
  <c r="AI52" i="1"/>
  <c r="AK52" i="1"/>
  <c r="U53" i="1"/>
  <c r="AE53" i="1"/>
  <c r="AI53" i="1"/>
  <c r="AK53" i="1"/>
  <c r="U54" i="1"/>
  <c r="AE54" i="1"/>
  <c r="AI54" i="1"/>
  <c r="AK54" i="1"/>
  <c r="U55" i="1"/>
  <c r="AE55" i="1"/>
  <c r="AI55" i="1"/>
  <c r="AK55" i="1"/>
  <c r="AK6" i="1"/>
  <c r="AK7" i="1"/>
  <c r="AK8" i="1"/>
  <c r="AK9" i="1"/>
  <c r="AK10" i="1"/>
  <c r="AK11" i="1"/>
  <c r="AK12" i="1"/>
  <c r="AK13" i="1"/>
  <c r="AK14" i="1"/>
  <c r="AK15" i="1"/>
  <c r="AK16" i="1"/>
  <c r="AK17" i="1"/>
  <c r="AK18" i="1"/>
  <c r="AK19" i="1"/>
  <c r="AK20" i="1"/>
  <c r="AK21" i="1"/>
  <c r="AK22" i="1"/>
  <c r="AK23" i="1"/>
  <c r="AK24" i="1"/>
  <c r="AK25" i="1"/>
  <c r="AK5" i="1"/>
  <c r="AI6" i="1"/>
  <c r="AI7" i="1"/>
  <c r="AI8" i="1"/>
  <c r="AI9" i="1"/>
  <c r="AI10" i="1"/>
  <c r="AI11" i="1"/>
  <c r="AI12" i="1"/>
  <c r="AI13" i="1"/>
  <c r="AI14" i="1"/>
  <c r="AI15" i="1"/>
  <c r="AI16" i="1"/>
  <c r="AI17" i="1"/>
  <c r="AI18" i="1"/>
  <c r="AI19" i="1"/>
  <c r="AI20" i="1"/>
  <c r="AI21" i="1"/>
  <c r="AI22" i="1"/>
  <c r="AI23" i="1"/>
  <c r="AI24" i="1"/>
  <c r="AI25" i="1"/>
  <c r="AI5" i="1"/>
  <c r="AE4" i="1" l="1"/>
  <c r="AE6" i="1"/>
  <c r="AE7" i="1"/>
  <c r="AE8" i="1"/>
  <c r="AE9" i="1"/>
  <c r="AE10" i="1"/>
  <c r="AE11" i="1"/>
  <c r="AE12" i="1"/>
  <c r="AE13" i="1"/>
  <c r="AE14" i="1"/>
  <c r="AE15" i="1"/>
  <c r="AE16" i="1"/>
  <c r="AE17" i="1"/>
  <c r="AE18" i="1"/>
  <c r="AE19" i="1"/>
  <c r="AE20" i="1"/>
  <c r="AE21" i="1"/>
  <c r="AE22" i="1"/>
  <c r="AE23" i="1"/>
  <c r="AE24" i="1"/>
  <c r="AE25" i="1"/>
  <c r="AE5" i="1"/>
  <c r="AA4" i="1" l="1"/>
  <c r="U6" i="1"/>
  <c r="U7" i="1"/>
  <c r="U8" i="1"/>
  <c r="U9" i="1"/>
  <c r="U10" i="1"/>
  <c r="U11" i="1"/>
  <c r="U12" i="1"/>
  <c r="U13" i="1"/>
  <c r="U14" i="1"/>
  <c r="U15" i="1"/>
  <c r="U16" i="1"/>
  <c r="U17" i="1"/>
  <c r="U18" i="1"/>
  <c r="U19" i="1"/>
  <c r="U20" i="1"/>
  <c r="U21" i="1"/>
  <c r="U22" i="1"/>
  <c r="U23" i="1"/>
  <c r="U24" i="1"/>
  <c r="U25" i="1"/>
  <c r="U5" i="1"/>
  <c r="U4" i="1"/>
  <c r="Q4" i="1"/>
</calcChain>
</file>

<file path=xl/comments1.xml><?xml version="1.0" encoding="utf-8"?>
<comments xmlns="http://schemas.openxmlformats.org/spreadsheetml/2006/main">
  <authors>
    <author>tci</author>
  </authors>
  <commentList>
    <comment ref="A4" authorId="0" shapeId="0">
      <text>
        <r>
          <rPr>
            <b/>
            <sz val="12"/>
            <color indexed="81"/>
            <rFont val="メイリオ"/>
            <family val="3"/>
            <charset val="128"/>
          </rPr>
          <t xml:space="preserve">設定項目の表示・非表示を操作します
</t>
        </r>
        <r>
          <rPr>
            <b/>
            <sz val="12"/>
            <color indexed="17"/>
            <rFont val="メイリオ"/>
            <family val="3"/>
            <charset val="128"/>
          </rPr>
          <t>TRUE</t>
        </r>
        <r>
          <rPr>
            <b/>
            <sz val="12"/>
            <color indexed="81"/>
            <rFont val="メイリオ"/>
            <family val="3"/>
            <charset val="128"/>
          </rPr>
          <t xml:space="preserve">：表示する
</t>
        </r>
        <r>
          <rPr>
            <b/>
            <sz val="12"/>
            <color indexed="10"/>
            <rFont val="メイリオ"/>
            <family val="3"/>
            <charset val="128"/>
          </rPr>
          <t>FALSE</t>
        </r>
        <r>
          <rPr>
            <b/>
            <sz val="12"/>
            <color indexed="81"/>
            <rFont val="メイリオ"/>
            <family val="3"/>
            <charset val="128"/>
          </rPr>
          <t>：表示しない</t>
        </r>
      </text>
    </comment>
    <comment ref="C7" authorId="0" shapeId="0">
      <text>
        <r>
          <rPr>
            <b/>
            <sz val="12"/>
            <color indexed="81"/>
            <rFont val="メイリオ"/>
            <family val="3"/>
            <charset val="128"/>
          </rPr>
          <t>「文書のプロパティ」内の項目</t>
        </r>
      </text>
    </comment>
    <comment ref="E7" authorId="0" shapeId="0">
      <text>
        <r>
          <rPr>
            <b/>
            <sz val="12"/>
            <color indexed="81"/>
            <rFont val="メイリオ"/>
            <family val="3"/>
            <charset val="128"/>
          </rPr>
          <t xml:space="preserve">項目を変更するかを設定
</t>
        </r>
        <r>
          <rPr>
            <b/>
            <sz val="12"/>
            <color indexed="17"/>
            <rFont val="メイリオ"/>
            <family val="3"/>
            <charset val="128"/>
          </rPr>
          <t>TRUE</t>
        </r>
        <r>
          <rPr>
            <b/>
            <sz val="12"/>
            <color indexed="81"/>
            <rFont val="メイリオ"/>
            <family val="3"/>
            <charset val="128"/>
          </rPr>
          <t xml:space="preserve">：変更する
</t>
        </r>
        <r>
          <rPr>
            <b/>
            <sz val="12"/>
            <color indexed="10"/>
            <rFont val="メイリオ"/>
            <family val="3"/>
            <charset val="128"/>
          </rPr>
          <t>FALSE</t>
        </r>
        <r>
          <rPr>
            <b/>
            <sz val="12"/>
            <color indexed="81"/>
            <rFont val="メイリオ"/>
            <family val="3"/>
            <charset val="128"/>
          </rPr>
          <t>：変更しない</t>
        </r>
      </text>
    </comment>
    <comment ref="F7" authorId="0" shapeId="0">
      <text>
        <r>
          <rPr>
            <b/>
            <sz val="12"/>
            <color indexed="81"/>
            <rFont val="メイリオ"/>
            <family val="3"/>
            <charset val="128"/>
          </rPr>
          <t>各項目の変更方法を設定
※右側の表に反映
・</t>
        </r>
        <r>
          <rPr>
            <b/>
            <sz val="12"/>
            <color indexed="10"/>
            <rFont val="メイリオ"/>
            <family val="3"/>
            <charset val="128"/>
          </rPr>
          <t>共通の文字列</t>
        </r>
        <r>
          <rPr>
            <b/>
            <sz val="12"/>
            <color indexed="81"/>
            <rFont val="メイリオ"/>
            <family val="3"/>
            <charset val="128"/>
          </rPr>
          <t>：
すべてのファイルの変更項目に設定した文字列を反映
・</t>
        </r>
        <r>
          <rPr>
            <b/>
            <sz val="12"/>
            <color indexed="12"/>
            <rFont val="メイリオ"/>
            <family val="3"/>
            <charset val="128"/>
          </rPr>
          <t>個別の文字列</t>
        </r>
        <r>
          <rPr>
            <b/>
            <sz val="12"/>
            <color indexed="81"/>
            <rFont val="メイリオ"/>
            <family val="3"/>
            <charset val="128"/>
          </rPr>
          <t>：
各ファイルに右側の表で個別に文字列を設定
・</t>
        </r>
        <r>
          <rPr>
            <b/>
            <sz val="12"/>
            <color indexed="10"/>
            <rFont val="メイリオ"/>
            <family val="3"/>
            <charset val="128"/>
          </rPr>
          <t>共通</t>
        </r>
        <r>
          <rPr>
            <b/>
            <sz val="12"/>
            <color indexed="81"/>
            <rFont val="メイリオ"/>
            <family val="3"/>
            <charset val="128"/>
          </rPr>
          <t>＋</t>
        </r>
        <r>
          <rPr>
            <b/>
            <sz val="12"/>
            <color indexed="12"/>
            <rFont val="メイリオ"/>
            <family val="3"/>
            <charset val="128"/>
          </rPr>
          <t>個別</t>
        </r>
        <r>
          <rPr>
            <b/>
            <sz val="12"/>
            <color indexed="81"/>
            <rFont val="メイリオ"/>
            <family val="3"/>
            <charset val="128"/>
          </rPr>
          <t>：
共通の文字列の後ろに右側の表で設定した個別の文字列を付加して設定
・</t>
        </r>
        <r>
          <rPr>
            <b/>
            <sz val="12"/>
            <color indexed="12"/>
            <rFont val="メイリオ"/>
            <family val="3"/>
            <charset val="128"/>
          </rPr>
          <t>個別</t>
        </r>
        <r>
          <rPr>
            <b/>
            <sz val="12"/>
            <color indexed="81"/>
            <rFont val="メイリオ"/>
            <family val="3"/>
            <charset val="128"/>
          </rPr>
          <t>＋</t>
        </r>
        <r>
          <rPr>
            <b/>
            <sz val="12"/>
            <color indexed="10"/>
            <rFont val="メイリオ"/>
            <family val="3"/>
            <charset val="128"/>
          </rPr>
          <t>共通</t>
        </r>
        <r>
          <rPr>
            <b/>
            <sz val="12"/>
            <color indexed="81"/>
            <rFont val="メイリオ"/>
            <family val="3"/>
            <charset val="128"/>
          </rPr>
          <t>：
右側の表で設定した個別の文字列に共通の文字列を付加して設定
・</t>
        </r>
        <r>
          <rPr>
            <b/>
            <sz val="12"/>
            <color indexed="17"/>
            <rFont val="メイリオ"/>
            <family val="3"/>
            <charset val="128"/>
          </rPr>
          <t>ファイル名</t>
        </r>
        <r>
          <rPr>
            <b/>
            <sz val="12"/>
            <color indexed="81"/>
            <rFont val="メイリオ"/>
            <family val="3"/>
            <charset val="128"/>
          </rPr>
          <t xml:space="preserve">：
ファイル名の拡張子を抜いた文字列を設定
</t>
        </r>
        <r>
          <rPr>
            <b/>
            <sz val="12"/>
            <color indexed="10"/>
            <rFont val="メイリオ"/>
            <family val="3"/>
            <charset val="128"/>
          </rPr>
          <t>※ファイル名を使用する場合は、変更する前に「ファイル名取得」ボタンで
　ファイル名を取得しておく必要があります</t>
        </r>
      </text>
    </comment>
  </commentList>
</comments>
</file>

<file path=xl/sharedStrings.xml><?xml version="1.0" encoding="utf-8"?>
<sst xmlns="http://schemas.openxmlformats.org/spreadsheetml/2006/main" count="121" uniqueCount="109">
  <si>
    <t>pdf格納フォルダ：</t>
    <rPh sb="3" eb="5">
      <t>カクノウ</t>
    </rPh>
    <phoneticPr fontId="1"/>
  </si>
  <si>
    <t>変更が加わっても最適化しないで保存されます。よって保存後はサイズが大きくなく場合があります。但し、この引数は開いているPDFファイルのPDF仕様を変更する事は無いのが最大の特徴です。</t>
    <phoneticPr fontId="1"/>
  </si>
  <si>
    <t xml:space="preserve">szFullPathによって指定されたファイル名にでPDFドキュメント全体を出力する。 </t>
    <phoneticPr fontId="1"/>
  </si>
  <si>
    <t>szFullPathによって指定されたファイル名にPDFドキュメントのコピーを出力する。ただし、出力前のPDFドキュメントは状態を維持しています。 また、PDSaveFullが使用される場合にだけ、このフラグを指定できます。</t>
    <phoneticPr fontId="1"/>
  </si>
  <si>
    <t>更新pdf保存フォルダ：</t>
    <rPh sb="0" eb="2">
      <t>コウシン</t>
    </rPh>
    <rPh sb="5" eb="7">
      <t>ホゾン</t>
    </rPh>
    <phoneticPr fontId="1"/>
  </si>
  <si>
    <t xml:space="preserve">照されないオブジェクトを取り除く。 これによりPDFファイルサイズを減少させる事もある。この用法は奨励されています。 また、PDSaveFullが使用される場合にだけ、このフラグを指定できます。 </t>
    <phoneticPr fontId="1"/>
  </si>
  <si>
    <t>ヒントテーブルを提供して、ウェブの為に最適化されたファイルで保存する。 これは、PDFファイルにバイトによって役立たれるのを許容します。また、PDSaveFullが使用される場合にだけ、このフラグを指定できます。
このPDSaveLinearizedフラグを使ってWEB用に最適化したいのならば、以下の手順をロジックを操作しないといけない。
    PDDoc.Openメソッドを使ってPDFファイルを開く。
    PDSaveLinearizedフラグを使ってSaveメソッドを実行する。
    最後はPDDoc.CloseメソッドでPDFファイルを閉じる。</t>
    <phoneticPr fontId="1"/>
  </si>
  <si>
    <t>バイナリファイルで保存</t>
    <rPh sb="9" eb="11">
      <t>ホゾン</t>
    </rPh>
    <phoneticPr fontId="1"/>
  </si>
  <si>
    <t>保存されたファイルの一部としてのPostScriptヘッダを書き込みます</t>
    <phoneticPr fontId="1"/>
  </si>
  <si>
    <t>PDSaveFull</t>
    <phoneticPr fontId="1"/>
  </si>
  <si>
    <t>PDSaveBinaryOK</t>
    <phoneticPr fontId="1"/>
  </si>
  <si>
    <t>PDSaveCollectGarbage</t>
    <phoneticPr fontId="1"/>
  </si>
  <si>
    <t>PDSaveCopy</t>
    <phoneticPr fontId="1"/>
  </si>
  <si>
    <t>PDSaveIncremental</t>
    <phoneticPr fontId="1"/>
  </si>
  <si>
    <t>PDSaveLinearized</t>
    <phoneticPr fontId="1"/>
  </si>
  <si>
    <t>PDSaveWithPSHeader</t>
    <phoneticPr fontId="1"/>
  </si>
  <si>
    <t>タイトル</t>
  </si>
  <si>
    <t>タイトル</t>
    <phoneticPr fontId="1"/>
  </si>
  <si>
    <t>Title</t>
    <phoneticPr fontId="1"/>
  </si>
  <si>
    <t>作成者</t>
  </si>
  <si>
    <t>作成者</t>
    <phoneticPr fontId="1"/>
  </si>
  <si>
    <t>Author</t>
    <phoneticPr fontId="1"/>
  </si>
  <si>
    <t>サブタイトル</t>
  </si>
  <si>
    <t>サブタイトル</t>
    <phoneticPr fontId="1"/>
  </si>
  <si>
    <t>Subject</t>
    <phoneticPr fontId="1"/>
  </si>
  <si>
    <t>キーワード</t>
  </si>
  <si>
    <t>キーワード</t>
    <phoneticPr fontId="1"/>
  </si>
  <si>
    <t>Keywords</t>
    <phoneticPr fontId="1"/>
  </si>
  <si>
    <t>アプリケーション</t>
  </si>
  <si>
    <t>アプリケーション</t>
    <phoneticPr fontId="1"/>
  </si>
  <si>
    <t>Creator</t>
    <phoneticPr fontId="1"/>
  </si>
  <si>
    <t>PDF変換</t>
  </si>
  <si>
    <t>PDF変換</t>
    <phoneticPr fontId="1"/>
  </si>
  <si>
    <t>Producer</t>
    <phoneticPr fontId="1"/>
  </si>
  <si>
    <t>作成日</t>
  </si>
  <si>
    <t>作成日</t>
    <phoneticPr fontId="1"/>
  </si>
  <si>
    <t>CreationDate</t>
    <phoneticPr fontId="1"/>
  </si>
  <si>
    <t>更新日</t>
  </si>
  <si>
    <t>更新日</t>
    <phoneticPr fontId="1"/>
  </si>
  <si>
    <t>ModDate</t>
    <phoneticPr fontId="1"/>
  </si>
  <si>
    <t>変更する項目</t>
    <rPh sb="0" eb="2">
      <t>ヘンコウ</t>
    </rPh>
    <rPh sb="4" eb="6">
      <t>コウモク</t>
    </rPh>
    <phoneticPr fontId="1"/>
  </si>
  <si>
    <t>変更フラグ</t>
    <rPh sb="0" eb="2">
      <t>ヘンコウ</t>
    </rPh>
    <phoneticPr fontId="1"/>
  </si>
  <si>
    <t>共通の文字列</t>
    <rPh sb="0" eb="2">
      <t>キョウツウ</t>
    </rPh>
    <rPh sb="3" eb="6">
      <t>モジレツ</t>
    </rPh>
    <phoneticPr fontId="1"/>
  </si>
  <si>
    <t>個別の文字列</t>
    <rPh sb="0" eb="2">
      <t>コベツ</t>
    </rPh>
    <rPh sb="3" eb="6">
      <t>モジレツ</t>
    </rPh>
    <phoneticPr fontId="1"/>
  </si>
  <si>
    <t>共通＋個別</t>
    <rPh sb="0" eb="2">
      <t>キョウツウ</t>
    </rPh>
    <rPh sb="3" eb="5">
      <t>コベツ</t>
    </rPh>
    <phoneticPr fontId="1"/>
  </si>
  <si>
    <t>個別＋共通</t>
    <rPh sb="0" eb="2">
      <t>コベツ</t>
    </rPh>
    <rPh sb="3" eb="5">
      <t>キョウツウ</t>
    </rPh>
    <phoneticPr fontId="1"/>
  </si>
  <si>
    <t>ファイル名</t>
    <rPh sb="4" eb="5">
      <t>メイ</t>
    </rPh>
    <phoneticPr fontId="1"/>
  </si>
  <si>
    <t>変更方法</t>
    <rPh sb="0" eb="2">
      <t>ヘンコウ</t>
    </rPh>
    <rPh sb="2" eb="4">
      <t>ホウホウ</t>
    </rPh>
    <phoneticPr fontId="1"/>
  </si>
  <si>
    <t>-</t>
    <phoneticPr fontId="1"/>
  </si>
  <si>
    <t>タイトル：個別の文字列</t>
    <rPh sb="5" eb="7">
      <t>コベツ</t>
    </rPh>
    <rPh sb="8" eb="11">
      <t>モジレツ</t>
    </rPh>
    <phoneticPr fontId="1"/>
  </si>
  <si>
    <t>サブタイトル：個別の文字列</t>
    <rPh sb="7" eb="9">
      <t>コベツ</t>
    </rPh>
    <rPh sb="10" eb="13">
      <t>モジレツ</t>
    </rPh>
    <phoneticPr fontId="1"/>
  </si>
  <si>
    <t>項目表示</t>
    <rPh sb="0" eb="2">
      <t>コウモク</t>
    </rPh>
    <rPh sb="2" eb="4">
      <t>ヒョウジ</t>
    </rPh>
    <phoneticPr fontId="1"/>
  </si>
  <si>
    <t>作成日</t>
    <rPh sb="0" eb="3">
      <t>サクセイビ</t>
    </rPh>
    <phoneticPr fontId="1"/>
  </si>
  <si>
    <t>更新日</t>
    <rPh sb="0" eb="3">
      <t>コウシンビ</t>
    </rPh>
    <phoneticPr fontId="1"/>
  </si>
  <si>
    <t>PDFDocument PropertyChanger Beta</t>
    <phoneticPr fontId="1"/>
  </si>
  <si>
    <t>本ツールを使用する前に</t>
    <rPh sb="0" eb="1">
      <t>ホン</t>
    </rPh>
    <rPh sb="5" eb="7">
      <t>シヨウ</t>
    </rPh>
    <rPh sb="9" eb="10">
      <t>マエ</t>
    </rPh>
    <phoneticPr fontId="1"/>
  </si>
  <si>
    <t>本ツールでは、マクロ動作前に「参照設定」を追加する必要があります。</t>
    <rPh sb="0" eb="1">
      <t>ホン</t>
    </rPh>
    <rPh sb="10" eb="12">
      <t>ドウサ</t>
    </rPh>
    <rPh sb="12" eb="13">
      <t>マエ</t>
    </rPh>
    <rPh sb="15" eb="17">
      <t>サンショウ</t>
    </rPh>
    <rPh sb="17" eb="19">
      <t>セッテイ</t>
    </rPh>
    <rPh sb="21" eb="23">
      <t>ツイカ</t>
    </rPh>
    <rPh sb="25" eb="27">
      <t>ヒツヨウ</t>
    </rPh>
    <phoneticPr fontId="1"/>
  </si>
  <si>
    <t>以下の手順で参照設定を追加してください。</t>
    <rPh sb="0" eb="2">
      <t>イカ</t>
    </rPh>
    <rPh sb="3" eb="5">
      <t>テジュン</t>
    </rPh>
    <rPh sb="6" eb="8">
      <t>サンショウ</t>
    </rPh>
    <rPh sb="8" eb="10">
      <t>セッテイ</t>
    </rPh>
    <rPh sb="11" eb="13">
      <t>ツイカ</t>
    </rPh>
    <phoneticPr fontId="1"/>
  </si>
  <si>
    <t>※Adobe AcrobatがインストールされているPCが前提となります</t>
    <rPh sb="29" eb="31">
      <t>ゼンテイ</t>
    </rPh>
    <phoneticPr fontId="1"/>
  </si>
  <si>
    <t>・参照設定</t>
    <rPh sb="1" eb="3">
      <t>サンショウ</t>
    </rPh>
    <rPh sb="3" eb="5">
      <t>セッテイ</t>
    </rPh>
    <phoneticPr fontId="1"/>
  </si>
  <si>
    <t>「開発」リボン→「Visual Basic」または「Alt+F11」でVBAエディタを表示させる</t>
    <rPh sb="1" eb="3">
      <t>カイハツ</t>
    </rPh>
    <rPh sb="43" eb="45">
      <t>ヒョウジ</t>
    </rPh>
    <phoneticPr fontId="1"/>
  </si>
  <si>
    <t>VBAエディタメニュー「ツール」→「参照設定」で参照設定のダイアログを表示する</t>
    <rPh sb="18" eb="20">
      <t>サンショウ</t>
    </rPh>
    <rPh sb="20" eb="22">
      <t>セッテイ</t>
    </rPh>
    <rPh sb="24" eb="26">
      <t>サンショウ</t>
    </rPh>
    <rPh sb="26" eb="28">
      <t>セッテイ</t>
    </rPh>
    <rPh sb="35" eb="37">
      <t>ヒョウジ</t>
    </rPh>
    <phoneticPr fontId="1"/>
  </si>
  <si>
    <t>「Acrobat」という参照設定を探し、チェックを入れてOKを押下する</t>
    <rPh sb="12" eb="14">
      <t>サンショウ</t>
    </rPh>
    <rPh sb="14" eb="16">
      <t>セッテイ</t>
    </rPh>
    <rPh sb="17" eb="18">
      <t>サガ</t>
    </rPh>
    <rPh sb="25" eb="26">
      <t>イ</t>
    </rPh>
    <rPh sb="31" eb="33">
      <t>オウカ</t>
    </rPh>
    <phoneticPr fontId="1"/>
  </si>
  <si>
    <t>再度参照設定ダイアログを表示すると、「Adobe Acrobat ※バージョン※ Type Library」となっている</t>
    <rPh sb="0" eb="2">
      <t>サイド</t>
    </rPh>
    <rPh sb="2" eb="4">
      <t>サンショウ</t>
    </rPh>
    <rPh sb="4" eb="6">
      <t>セッテイ</t>
    </rPh>
    <rPh sb="12" eb="14">
      <t>ヒョウジ</t>
    </rPh>
    <phoneticPr fontId="1"/>
  </si>
  <si>
    <t>※これで使用前の準備は完了</t>
    <rPh sb="4" eb="6">
      <t>シヨウ</t>
    </rPh>
    <rPh sb="6" eb="7">
      <t>マエ</t>
    </rPh>
    <rPh sb="8" eb="10">
      <t>ジュンビ</t>
    </rPh>
    <rPh sb="11" eb="13">
      <t>カンリョウ</t>
    </rPh>
    <phoneticPr fontId="1"/>
  </si>
  <si>
    <t>バージョンごとの参照設定は以下を参考</t>
    <rPh sb="8" eb="10">
      <t>サンショウ</t>
    </rPh>
    <rPh sb="10" eb="12">
      <t>セッテイ</t>
    </rPh>
    <rPh sb="13" eb="15">
      <t>イカ</t>
    </rPh>
    <rPh sb="16" eb="18">
      <t>サンコウ</t>
    </rPh>
    <phoneticPr fontId="1"/>
  </si>
  <si>
    <t>http://pdf-file.nnn2.com/?p=204</t>
    <phoneticPr fontId="1"/>
  </si>
  <si>
    <t>動作設定</t>
  </si>
  <si>
    <t>動作設定</t>
    <rPh sb="0" eb="2">
      <t>ドウサ</t>
    </rPh>
    <rPh sb="2" eb="4">
      <t>セッテイ</t>
    </rPh>
    <phoneticPr fontId="1"/>
  </si>
  <si>
    <t>infoシート左側：動作設定概要部</t>
    <rPh sb="7" eb="9">
      <t>ヒダリガワ</t>
    </rPh>
    <rPh sb="10" eb="12">
      <t>ドウサ</t>
    </rPh>
    <rPh sb="12" eb="14">
      <t>セッテイ</t>
    </rPh>
    <rPh sb="14" eb="16">
      <t>ガイヨウ</t>
    </rPh>
    <rPh sb="16" eb="17">
      <t>ブ</t>
    </rPh>
    <phoneticPr fontId="1"/>
  </si>
  <si>
    <t>pdf格納フォルダ：プロパティを変更したいpdfファイルを格納しているフォルダ（絶対パスで指定）</t>
    <rPh sb="3" eb="5">
      <t>カクノウ</t>
    </rPh>
    <rPh sb="16" eb="18">
      <t>ヘンコウ</t>
    </rPh>
    <rPh sb="29" eb="31">
      <t>カクノウ</t>
    </rPh>
    <rPh sb="40" eb="42">
      <t>ゼッタイ</t>
    </rPh>
    <rPh sb="45" eb="47">
      <t>シテイ</t>
    </rPh>
    <phoneticPr fontId="1"/>
  </si>
  <si>
    <t>更新pdf保存フォルダ：プロパティを変更したpdfファイルを保存するフォルダ（絶対パスで指定）</t>
    <rPh sb="0" eb="2">
      <t>コウシン</t>
    </rPh>
    <rPh sb="5" eb="7">
      <t>ホゾン</t>
    </rPh>
    <rPh sb="18" eb="20">
      <t>ヘンコウ</t>
    </rPh>
    <rPh sb="30" eb="32">
      <t>ホゾン</t>
    </rPh>
    <rPh sb="39" eb="41">
      <t>ゼッタイ</t>
    </rPh>
    <rPh sb="44" eb="46">
      <t>シテイ</t>
    </rPh>
    <phoneticPr fontId="1"/>
  </si>
  <si>
    <t>※更新pdf保存フォルダが空欄の場合は、pdf格納フォルダと同じになり格納フォルダのpdfは上書きされる</t>
    <rPh sb="1" eb="3">
      <t>コウシン</t>
    </rPh>
    <rPh sb="6" eb="8">
      <t>ホゾン</t>
    </rPh>
    <rPh sb="13" eb="15">
      <t>クウラン</t>
    </rPh>
    <rPh sb="16" eb="18">
      <t>バアイ</t>
    </rPh>
    <rPh sb="23" eb="25">
      <t>カクノウ</t>
    </rPh>
    <rPh sb="30" eb="31">
      <t>オナ</t>
    </rPh>
    <rPh sb="35" eb="37">
      <t>カクノウ</t>
    </rPh>
    <rPh sb="46" eb="48">
      <t>ウワガ</t>
    </rPh>
    <phoneticPr fontId="1"/>
  </si>
  <si>
    <t>項目表示：本動作設定概要部を表示・非表示にする</t>
    <rPh sb="0" eb="2">
      <t>コウモク</t>
    </rPh>
    <rPh sb="2" eb="4">
      <t>ヒョウジ</t>
    </rPh>
    <rPh sb="5" eb="6">
      <t>ホン</t>
    </rPh>
    <rPh sb="6" eb="8">
      <t>ドウサ</t>
    </rPh>
    <rPh sb="8" eb="10">
      <t>セッテイ</t>
    </rPh>
    <rPh sb="10" eb="12">
      <t>ガイヨウ</t>
    </rPh>
    <rPh sb="12" eb="13">
      <t>ブ</t>
    </rPh>
    <rPh sb="14" eb="16">
      <t>ヒョウジ</t>
    </rPh>
    <rPh sb="17" eb="20">
      <t>ヒヒョウジ</t>
    </rPh>
    <phoneticPr fontId="1"/>
  </si>
  <si>
    <t>基本項目</t>
    <rPh sb="0" eb="2">
      <t>キホン</t>
    </rPh>
    <rPh sb="2" eb="4">
      <t>コウモク</t>
    </rPh>
    <phoneticPr fontId="1"/>
  </si>
  <si>
    <t>詳細項目</t>
    <rPh sb="0" eb="2">
      <t>ショウサイ</t>
    </rPh>
    <rPh sb="2" eb="4">
      <t>コウモク</t>
    </rPh>
    <phoneticPr fontId="1"/>
  </si>
  <si>
    <t>pdfファイル「文書のプロパティ」の「概要」タブの項目を変更する</t>
    <rPh sb="8" eb="10">
      <t>ブンショ</t>
    </rPh>
    <rPh sb="19" eb="21">
      <t>ガイヨウ</t>
    </rPh>
    <rPh sb="25" eb="27">
      <t>コウモク</t>
    </rPh>
    <rPh sb="28" eb="30">
      <t>ヘンコウ</t>
    </rPh>
    <phoneticPr fontId="1"/>
  </si>
  <si>
    <t>※「アプリケーション」「PDF変換」「作成日」「更新日」は項目として設置してるが、動作はしない</t>
    <rPh sb="15" eb="17">
      <t>ヘンカン</t>
    </rPh>
    <rPh sb="19" eb="22">
      <t>サクセイビ</t>
    </rPh>
    <rPh sb="24" eb="27">
      <t>コウシンビ</t>
    </rPh>
    <rPh sb="29" eb="31">
      <t>コウモク</t>
    </rPh>
    <rPh sb="34" eb="36">
      <t>セッチ</t>
    </rPh>
    <rPh sb="41" eb="43">
      <t>ドウサ</t>
    </rPh>
    <phoneticPr fontId="1"/>
  </si>
  <si>
    <t>「変更する項目」は、pdfプロパティ内「概要」タブの項目と揃えている</t>
    <rPh sb="1" eb="3">
      <t>ヘンコウ</t>
    </rPh>
    <rPh sb="5" eb="7">
      <t>コウモク</t>
    </rPh>
    <rPh sb="18" eb="19">
      <t>ナイ</t>
    </rPh>
    <rPh sb="20" eb="22">
      <t>ガイヨウ</t>
    </rPh>
    <rPh sb="26" eb="28">
      <t>コウモク</t>
    </rPh>
    <rPh sb="29" eb="30">
      <t>ソロ</t>
    </rPh>
    <phoneticPr fontId="1"/>
  </si>
  <si>
    <t>変更フラグ：「変更する項目」を変更を設定</t>
    <rPh sb="0" eb="2">
      <t>ヘンコウ</t>
    </rPh>
    <rPh sb="7" eb="9">
      <t>ヘンコウ</t>
    </rPh>
    <rPh sb="11" eb="13">
      <t>コウモク</t>
    </rPh>
    <rPh sb="15" eb="17">
      <t>ヘンコウ</t>
    </rPh>
    <rPh sb="18" eb="20">
      <t>セッテイ</t>
    </rPh>
    <phoneticPr fontId="1"/>
  </si>
  <si>
    <t>TRUE：変更する</t>
    <rPh sb="5" eb="7">
      <t>ヘンコウ</t>
    </rPh>
    <phoneticPr fontId="1"/>
  </si>
  <si>
    <t>FALSE：変更しない</t>
    <rPh sb="6" eb="8">
      <t>ヘンコウ</t>
    </rPh>
    <phoneticPr fontId="1"/>
  </si>
  <si>
    <t>・</t>
    <phoneticPr fontId="1"/>
  </si>
  <si>
    <t>変更方法：プルダウンで選択できる項目は、変更方法を選択できる</t>
    <rPh sb="0" eb="2">
      <t>ヘンコウ</t>
    </rPh>
    <rPh sb="2" eb="4">
      <t>ホウホウ</t>
    </rPh>
    <rPh sb="11" eb="13">
      <t>センタク</t>
    </rPh>
    <rPh sb="16" eb="18">
      <t>コウモク</t>
    </rPh>
    <rPh sb="20" eb="22">
      <t>ヘンコウ</t>
    </rPh>
    <rPh sb="22" eb="24">
      <t>ホウホウ</t>
    </rPh>
    <rPh sb="25" eb="27">
      <t>センタク</t>
    </rPh>
    <phoneticPr fontId="1"/>
  </si>
  <si>
    <t>選択できないものは一律「共通の文字列」となっている</t>
    <rPh sb="0" eb="2">
      <t>センタク</t>
    </rPh>
    <rPh sb="9" eb="11">
      <t>イチリツ</t>
    </rPh>
    <rPh sb="12" eb="14">
      <t>キョウツウ</t>
    </rPh>
    <rPh sb="15" eb="18">
      <t>モジレツ</t>
    </rPh>
    <phoneticPr fontId="1"/>
  </si>
  <si>
    <t>参照設定</t>
  </si>
  <si>
    <t>選択可能な変更方法</t>
    <rPh sb="0" eb="2">
      <t>センタク</t>
    </rPh>
    <rPh sb="2" eb="4">
      <t>カノウ</t>
    </rPh>
    <rPh sb="5" eb="7">
      <t>ヘンコウ</t>
    </rPh>
    <rPh sb="7" eb="9">
      <t>ホウホウ</t>
    </rPh>
    <phoneticPr fontId="1"/>
  </si>
  <si>
    <t>共通の文字列：右セル「共通の文字列」に入力された文字列を全pdfファイルへ反映する</t>
    <rPh sb="0" eb="2">
      <t>キョウツウ</t>
    </rPh>
    <rPh sb="3" eb="6">
      <t>モジレツ</t>
    </rPh>
    <rPh sb="7" eb="8">
      <t>ミギ</t>
    </rPh>
    <rPh sb="11" eb="13">
      <t>キョウツウ</t>
    </rPh>
    <rPh sb="14" eb="17">
      <t>モジレツ</t>
    </rPh>
    <rPh sb="19" eb="21">
      <t>ニュウリョク</t>
    </rPh>
    <rPh sb="24" eb="27">
      <t>モジレツ</t>
    </rPh>
    <rPh sb="28" eb="29">
      <t>ゼン</t>
    </rPh>
    <rPh sb="37" eb="39">
      <t>ハンエイ</t>
    </rPh>
    <phoneticPr fontId="1"/>
  </si>
  <si>
    <t>個別の文字列：infoシート右側の詳細リスト「個別の文字列」に入力された文字列を反映する</t>
    <rPh sb="0" eb="2">
      <t>コベツ</t>
    </rPh>
    <rPh sb="3" eb="6">
      <t>モジレツ</t>
    </rPh>
    <rPh sb="14" eb="16">
      <t>ミギガワ</t>
    </rPh>
    <rPh sb="17" eb="19">
      <t>ショウサイ</t>
    </rPh>
    <rPh sb="23" eb="25">
      <t>コベツ</t>
    </rPh>
    <rPh sb="26" eb="29">
      <t>モジレツ</t>
    </rPh>
    <rPh sb="31" eb="33">
      <t>ニュウリョク</t>
    </rPh>
    <rPh sb="36" eb="39">
      <t>モジレツ</t>
    </rPh>
    <rPh sb="40" eb="42">
      <t>ハンエイ</t>
    </rPh>
    <phoneticPr fontId="1"/>
  </si>
  <si>
    <t>共通＋個別：共通の文字列の後ろに、infoシート右側の詳細リスト「個別の文字列」に入力された文字列を付加して反映する</t>
    <rPh sb="0" eb="2">
      <t>キョウツウ</t>
    </rPh>
    <rPh sb="3" eb="5">
      <t>コベツ</t>
    </rPh>
    <rPh sb="6" eb="8">
      <t>キョウツウ</t>
    </rPh>
    <rPh sb="9" eb="12">
      <t>モジレツ</t>
    </rPh>
    <rPh sb="13" eb="14">
      <t>ウシ</t>
    </rPh>
    <rPh sb="24" eb="26">
      <t>ミギガワ</t>
    </rPh>
    <rPh sb="27" eb="29">
      <t>ショウサイ</t>
    </rPh>
    <rPh sb="33" eb="35">
      <t>コベツ</t>
    </rPh>
    <rPh sb="36" eb="39">
      <t>モジレツ</t>
    </rPh>
    <rPh sb="41" eb="43">
      <t>ニュウリョク</t>
    </rPh>
    <rPh sb="46" eb="49">
      <t>モジレツ</t>
    </rPh>
    <rPh sb="50" eb="52">
      <t>フカ</t>
    </rPh>
    <rPh sb="54" eb="56">
      <t>ハンエイ</t>
    </rPh>
    <phoneticPr fontId="1"/>
  </si>
  <si>
    <t>個別＋共通：infoシート右側の詳細リスト「個別の文字列」に入力された文字列の文字列の後ろに、「共通の文字列」に入力された文字列を付加して反映する</t>
    <rPh sb="0" eb="2">
      <t>コベツ</t>
    </rPh>
    <rPh sb="3" eb="5">
      <t>キョウツウ</t>
    </rPh>
    <rPh sb="48" eb="50">
      <t>キョウツウ</t>
    </rPh>
    <rPh sb="51" eb="54">
      <t>モジレツ</t>
    </rPh>
    <rPh sb="56" eb="58">
      <t>ニュウリョク</t>
    </rPh>
    <rPh sb="61" eb="64">
      <t>モジレツ</t>
    </rPh>
    <phoneticPr fontId="1"/>
  </si>
  <si>
    <t>ファイル名：pdfファイルのファイル名を拡張子を除いた文字列で反映する</t>
    <rPh sb="4" eb="5">
      <t>メイ</t>
    </rPh>
    <rPh sb="18" eb="19">
      <t>メイ</t>
    </rPh>
    <rPh sb="20" eb="23">
      <t>カクチョウシ</t>
    </rPh>
    <rPh sb="24" eb="25">
      <t>ノゾ</t>
    </rPh>
    <rPh sb="27" eb="30">
      <t>モジレツ</t>
    </rPh>
    <rPh sb="31" eb="33">
      <t>ハンエイ</t>
    </rPh>
    <phoneticPr fontId="1"/>
  </si>
  <si>
    <t>※ファイル名を反映する場合は、あらかじめ「ファイル名取得」ボタンでファイル名を取得しておくこと</t>
    <rPh sb="5" eb="6">
      <t>メイ</t>
    </rPh>
    <rPh sb="7" eb="9">
      <t>ハンエイ</t>
    </rPh>
    <rPh sb="11" eb="13">
      <t>バアイ</t>
    </rPh>
    <rPh sb="25" eb="26">
      <t>メイ</t>
    </rPh>
    <rPh sb="26" eb="28">
      <t>シュトク</t>
    </rPh>
    <rPh sb="37" eb="38">
      <t>メイ</t>
    </rPh>
    <rPh sb="39" eb="41">
      <t>シュトク</t>
    </rPh>
    <phoneticPr fontId="1"/>
  </si>
  <si>
    <t>詳細設定</t>
  </si>
  <si>
    <t>詳細設定</t>
    <rPh sb="0" eb="2">
      <t>ショウサイ</t>
    </rPh>
    <rPh sb="2" eb="4">
      <t>セッテイ</t>
    </rPh>
    <phoneticPr fontId="1"/>
  </si>
  <si>
    <t>プロパティ変更開始ボタン：マクロ動作ボタン</t>
    <rPh sb="5" eb="7">
      <t>ヘンコウ</t>
    </rPh>
    <rPh sb="7" eb="9">
      <t>カイシ</t>
    </rPh>
    <rPh sb="16" eb="18">
      <t>ドウサ</t>
    </rPh>
    <phoneticPr fontId="1"/>
  </si>
  <si>
    <t>動作設定・詳細設定で入力された情報をもとに、変更対象項目を1pdfファイルごとに反映する</t>
    <rPh sb="40" eb="42">
      <t>ハンエイ</t>
    </rPh>
    <phoneticPr fontId="1"/>
  </si>
  <si>
    <t>ファイル名取得ボタン：pdf格納フォルダに入力されたファイルパスより、格納されているpdfのファイル名を「ファイル名」へ書き出す</t>
    <rPh sb="4" eb="5">
      <t>メイ</t>
    </rPh>
    <rPh sb="5" eb="7">
      <t>シュトク</t>
    </rPh>
    <rPh sb="14" eb="16">
      <t>カクノウ</t>
    </rPh>
    <rPh sb="21" eb="23">
      <t>ニュウリョク</t>
    </rPh>
    <rPh sb="35" eb="37">
      <t>カクノウ</t>
    </rPh>
    <rPh sb="50" eb="51">
      <t>メイ</t>
    </rPh>
    <rPh sb="57" eb="58">
      <t>メイ</t>
    </rPh>
    <rPh sb="60" eb="61">
      <t>カ</t>
    </rPh>
    <rPh sb="62" eb="63">
      <t>ダ</t>
    </rPh>
    <phoneticPr fontId="1"/>
  </si>
  <si>
    <t>ファイル名：pdf格納フォルダに格納されているpdfファイルのファイル名</t>
    <rPh sb="4" eb="5">
      <t>メイ</t>
    </rPh>
    <rPh sb="9" eb="11">
      <t>カクノウ</t>
    </rPh>
    <rPh sb="16" eb="18">
      <t>カクノウ</t>
    </rPh>
    <rPh sb="35" eb="36">
      <t>メイ</t>
    </rPh>
    <phoneticPr fontId="1"/>
  </si>
  <si>
    <t>タイトル：個別の文字列：動作設定で「個別の文字列」「共通＋個別」「個別＋共通」を選択した場合に入力する項目</t>
    <rPh sb="5" eb="7">
      <t>コベツ</t>
    </rPh>
    <rPh sb="8" eb="11">
      <t>モジレツ</t>
    </rPh>
    <rPh sb="12" eb="14">
      <t>ドウサ</t>
    </rPh>
    <rPh sb="14" eb="16">
      <t>セッテイ</t>
    </rPh>
    <rPh sb="18" eb="20">
      <t>コベツ</t>
    </rPh>
    <rPh sb="21" eb="24">
      <t>モジレツ</t>
    </rPh>
    <rPh sb="26" eb="28">
      <t>キョウツウ</t>
    </rPh>
    <rPh sb="29" eb="31">
      <t>コベツ</t>
    </rPh>
    <rPh sb="33" eb="35">
      <t>コベツ</t>
    </rPh>
    <rPh sb="36" eb="38">
      <t>キョウツウ</t>
    </rPh>
    <rPh sb="40" eb="42">
      <t>センタク</t>
    </rPh>
    <rPh sb="44" eb="46">
      <t>バアイ</t>
    </rPh>
    <rPh sb="47" eb="49">
      <t>ニュウリョク</t>
    </rPh>
    <rPh sb="51" eb="53">
      <t>コウモク</t>
    </rPh>
    <phoneticPr fontId="1"/>
  </si>
  <si>
    <t>タイトル：※選択した「変更方法」※：動作設定で設定された変更方法をもとに、反映する文字列を生成する項目</t>
    <rPh sb="6" eb="8">
      <t>センタク</t>
    </rPh>
    <rPh sb="11" eb="13">
      <t>ヘンコウ</t>
    </rPh>
    <rPh sb="13" eb="15">
      <t>ホウホウ</t>
    </rPh>
    <rPh sb="18" eb="20">
      <t>ドウサ</t>
    </rPh>
    <rPh sb="20" eb="22">
      <t>セッテイ</t>
    </rPh>
    <rPh sb="23" eb="25">
      <t>セッテイ</t>
    </rPh>
    <rPh sb="28" eb="30">
      <t>ヘンコウ</t>
    </rPh>
    <rPh sb="30" eb="32">
      <t>ホウホウ</t>
    </rPh>
    <rPh sb="37" eb="39">
      <t>ハンエイ</t>
    </rPh>
    <rPh sb="41" eb="44">
      <t>モジレツ</t>
    </rPh>
    <rPh sb="45" eb="47">
      <t>セイセイ</t>
    </rPh>
    <rPh sb="49" eb="51">
      <t>コウモク</t>
    </rPh>
    <phoneticPr fontId="1"/>
  </si>
  <si>
    <t>作成者：共通の文字列：作成者を変更する際に、動作設定「共通の文字列」に入力した文字列を反映する項目</t>
    <rPh sb="0" eb="3">
      <t>サクセイシャ</t>
    </rPh>
    <rPh sb="4" eb="6">
      <t>キョウツウ</t>
    </rPh>
    <rPh sb="7" eb="10">
      <t>モジレツ</t>
    </rPh>
    <rPh sb="11" eb="14">
      <t>サクセイシャ</t>
    </rPh>
    <rPh sb="15" eb="17">
      <t>ヘンコウ</t>
    </rPh>
    <rPh sb="19" eb="20">
      <t>サイ</t>
    </rPh>
    <rPh sb="22" eb="24">
      <t>ドウサ</t>
    </rPh>
    <rPh sb="24" eb="26">
      <t>セッテイ</t>
    </rPh>
    <rPh sb="27" eb="29">
      <t>キョウツウ</t>
    </rPh>
    <rPh sb="30" eb="33">
      <t>モジレツ</t>
    </rPh>
    <rPh sb="35" eb="37">
      <t>ニュウリョク</t>
    </rPh>
    <rPh sb="39" eb="42">
      <t>モジレツ</t>
    </rPh>
    <rPh sb="43" eb="45">
      <t>ハンエイ</t>
    </rPh>
    <rPh sb="47" eb="49">
      <t>コウモク</t>
    </rPh>
    <phoneticPr fontId="1"/>
  </si>
  <si>
    <t>サブタイトル：個別の文字列：動作設定で「個別の文字列」「共通＋個別」「個別＋共通」を選択した場合に入力する項目</t>
    <rPh sb="7" eb="9">
      <t>コベツ</t>
    </rPh>
    <rPh sb="10" eb="13">
      <t>モジレツ</t>
    </rPh>
    <rPh sb="14" eb="16">
      <t>ドウサ</t>
    </rPh>
    <rPh sb="16" eb="18">
      <t>セッテイ</t>
    </rPh>
    <rPh sb="20" eb="22">
      <t>コベツ</t>
    </rPh>
    <rPh sb="23" eb="26">
      <t>モジレツ</t>
    </rPh>
    <rPh sb="28" eb="30">
      <t>キョウツウ</t>
    </rPh>
    <rPh sb="31" eb="33">
      <t>コベツ</t>
    </rPh>
    <rPh sb="35" eb="37">
      <t>コベツ</t>
    </rPh>
    <rPh sb="38" eb="40">
      <t>キョウツウ</t>
    </rPh>
    <rPh sb="42" eb="44">
      <t>センタク</t>
    </rPh>
    <rPh sb="46" eb="48">
      <t>バアイ</t>
    </rPh>
    <rPh sb="49" eb="51">
      <t>ニュウリョク</t>
    </rPh>
    <rPh sb="53" eb="55">
      <t>コウモク</t>
    </rPh>
    <phoneticPr fontId="1"/>
  </si>
  <si>
    <t>サブタイトル：※選択した「変更方法」※：動作設定で設定された変更方法をもとに、反映する文字列を生成する項目</t>
    <rPh sb="8" eb="10">
      <t>センタク</t>
    </rPh>
    <rPh sb="13" eb="15">
      <t>ヘンコウ</t>
    </rPh>
    <rPh sb="15" eb="17">
      <t>ホウホウ</t>
    </rPh>
    <rPh sb="20" eb="22">
      <t>ドウサ</t>
    </rPh>
    <rPh sb="22" eb="24">
      <t>セッテイ</t>
    </rPh>
    <rPh sb="25" eb="27">
      <t>セッテイ</t>
    </rPh>
    <rPh sb="30" eb="32">
      <t>ヘンコウ</t>
    </rPh>
    <rPh sb="32" eb="34">
      <t>ホウホウ</t>
    </rPh>
    <rPh sb="39" eb="41">
      <t>ハンエイ</t>
    </rPh>
    <rPh sb="43" eb="46">
      <t>モジレツ</t>
    </rPh>
    <rPh sb="47" eb="49">
      <t>セイセイ</t>
    </rPh>
    <rPh sb="51" eb="53">
      <t>コウモク</t>
    </rPh>
    <phoneticPr fontId="1"/>
  </si>
  <si>
    <t>項目の表示・非表示について</t>
    <rPh sb="0" eb="2">
      <t>コウモク</t>
    </rPh>
    <rPh sb="3" eb="5">
      <t>ヒョウジ</t>
    </rPh>
    <rPh sb="6" eb="9">
      <t>ヒヒョウジ</t>
    </rPh>
    <phoneticPr fontId="1"/>
  </si>
  <si>
    <t>動作設定の「変更フラグ」がFALSEの項目については、詳細設定項目自体が非表示となる</t>
    <rPh sb="0" eb="2">
      <t>ドウサ</t>
    </rPh>
    <rPh sb="2" eb="4">
      <t>セッテイ</t>
    </rPh>
    <rPh sb="6" eb="8">
      <t>ヘンコウ</t>
    </rPh>
    <rPh sb="19" eb="21">
      <t>コウモク</t>
    </rPh>
    <rPh sb="27" eb="29">
      <t>ショウサイ</t>
    </rPh>
    <rPh sb="29" eb="31">
      <t>セッテイ</t>
    </rPh>
    <rPh sb="31" eb="33">
      <t>コウモク</t>
    </rPh>
    <rPh sb="33" eb="35">
      <t>ジタイ</t>
    </rPh>
    <rPh sb="36" eb="39">
      <t>ヒヒョウジ</t>
    </rPh>
    <phoneticPr fontId="1"/>
  </si>
  <si>
    <t>（詳細はinfoシートのVBAを参照のこと）</t>
    <rPh sb="1" eb="3">
      <t>ショウサイ</t>
    </rPh>
    <rPh sb="16" eb="18">
      <t>サンショウ</t>
    </rPh>
    <phoneticPr fontId="1"/>
  </si>
  <si>
    <t>個別の文字列について</t>
    <rPh sb="0" eb="2">
      <t>コベツ</t>
    </rPh>
    <rPh sb="3" eb="6">
      <t>モジレツ</t>
    </rPh>
    <phoneticPr fontId="1"/>
  </si>
  <si>
    <t>入力不要の動作設定の場合は、入力規則により入力不可・グレーアウトとなる</t>
    <rPh sb="0" eb="2">
      <t>ニュウリョク</t>
    </rPh>
    <rPh sb="2" eb="4">
      <t>フヨウ</t>
    </rPh>
    <rPh sb="5" eb="7">
      <t>ドウサ</t>
    </rPh>
    <rPh sb="7" eb="9">
      <t>セッテイ</t>
    </rPh>
    <rPh sb="10" eb="12">
      <t>バアイ</t>
    </rPh>
    <rPh sb="14" eb="16">
      <t>ニュウリョク</t>
    </rPh>
    <rPh sb="16" eb="18">
      <t>キソク</t>
    </rPh>
    <rPh sb="21" eb="23">
      <t>ニュウリョク</t>
    </rPh>
    <rPh sb="23" eb="25">
      <t>フカ</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</si>
</sst>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d;@"/>
  </numFmts>
  <fonts count="10" x14ac:knownFonts="1">
    <font>
      <sz val="12"/>
      <color theme="1"/>
      <name val="メイリオ"/>
      <family val="2"/>
      <charset val="128"/>
    </font>
    <font>
      <sz val="6"/>
      <name val="メイリオ"/>
      <family val="2"/>
      <charset val="128"/>
    </font>
    <font>
      <sz val="11"/>
      <color theme="1"/>
      <name val="メイリオ"/>
      <family val="2"/>
      <charset val="128"/>
    </font>
    <font>
      <b/>
      <i/>
      <sz val="24"/>
      <color theme="0"/>
      <name val="メイリオ"/>
      <family val="3"/>
      <charset val="128"/>
    </font>
    <font>
      <b/>
      <sz val="12"/>
      <color indexed="81"/>
      <name val="メイリオ"/>
      <family val="3"/>
      <charset val="128"/>
    </font>
    <font>
      <b/>
      <sz val="12"/>
      <color indexed="17"/>
      <name val="メイリオ"/>
      <family val="3"/>
      <charset val="128"/>
    </font>
    <font>
      <b/>
      <sz val="12"/>
      <color indexed="10"/>
      <name val="メイリオ"/>
      <family val="3"/>
      <charset val="128"/>
    </font>
    <font>
      <b/>
      <sz val="12"/>
      <color indexed="12"/>
      <name val="メイリオ"/>
      <family val="3"/>
      <charset val="128"/>
    </font>
    <font>
      <u/>
      <sz val="12"/>
      <color theme="10"/>
      <name val="メイリオ"/>
      <family val="2"/>
      <charset val="128"/>
    </font>
    <font>
      <b/>
      <sz val="12"/>
      <color rgb="FFC00000"/>
      <name val="メイリオ"/>
      <family val="3"/>
      <charset val="128"/>
    </font>
  </fonts>
  <fills count="4">
    <fill>
      <patternFill patternType="none"/>
    </fill>
    <fill>
      <patternFill patternType="gray125"/>
    </fill>
    <fill>
      <patternFill patternType="solid">
        <fgColor theme="9" tint="0.79998168889431442"/>
        <bgColor indexed="64"/>
      </patternFill>
    </fill>
    <fill>
      <gradientFill degree="225">
        <stop position="0">
          <color theme="0"/>
        </stop>
        <stop position="1">
          <color rgb="FF7030A0"/>
        </stop>
      </gradientFill>
    </fill>
  </fills>
  <borders count="35">
    <border>
      <left/>
      <right/>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auto="1"/>
      </left>
      <right style="thin">
        <color auto="1"/>
      </right>
      <top style="thick">
        <color auto="1"/>
      </top>
      <bottom style="medium">
        <color auto="1"/>
      </bottom>
      <diagonal/>
    </border>
    <border>
      <left style="thin">
        <color auto="1"/>
      </left>
      <right style="thin">
        <color auto="1"/>
      </right>
      <top style="thick">
        <color auto="1"/>
      </top>
      <bottom style="medium">
        <color auto="1"/>
      </bottom>
      <diagonal/>
    </border>
    <border>
      <left style="thin">
        <color auto="1"/>
      </left>
      <right style="thick">
        <color auto="1"/>
      </right>
      <top style="thick">
        <color auto="1"/>
      </top>
      <bottom style="medium">
        <color auto="1"/>
      </bottom>
      <diagonal/>
    </border>
    <border>
      <left style="thin">
        <color auto="1"/>
      </left>
      <right/>
      <top style="thick">
        <color auto="1"/>
      </top>
      <bottom style="medium">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style="thick">
        <color auto="1"/>
      </bottom>
      <diagonal/>
    </border>
    <border>
      <left/>
      <right style="thin">
        <color auto="1"/>
      </right>
      <top style="thick">
        <color auto="1"/>
      </top>
      <bottom style="medium">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mediumDashed">
        <color auto="1"/>
      </left>
      <right style="thin">
        <color auto="1"/>
      </right>
      <top style="thick">
        <color auto="1"/>
      </top>
      <bottom style="medium">
        <color auto="1"/>
      </bottom>
      <diagonal/>
    </border>
    <border>
      <left style="thin">
        <color auto="1"/>
      </left>
      <right style="mediumDashed">
        <color auto="1"/>
      </right>
      <top style="thick">
        <color auto="1"/>
      </top>
      <bottom style="medium">
        <color auto="1"/>
      </bottom>
      <diagonal/>
    </border>
    <border>
      <left style="mediumDashed">
        <color auto="1"/>
      </left>
      <right style="thin">
        <color auto="1"/>
      </right>
      <top/>
      <bottom style="thin">
        <color auto="1"/>
      </bottom>
      <diagonal/>
    </border>
    <border>
      <left style="thin">
        <color auto="1"/>
      </left>
      <right style="mediumDashed">
        <color auto="1"/>
      </right>
      <top/>
      <bottom style="thin">
        <color auto="1"/>
      </bottom>
      <diagonal/>
    </border>
    <border>
      <left style="mediumDashed">
        <color auto="1"/>
      </left>
      <right style="thin">
        <color auto="1"/>
      </right>
      <top style="thin">
        <color auto="1"/>
      </top>
      <bottom style="thin">
        <color auto="1"/>
      </bottom>
      <diagonal/>
    </border>
    <border>
      <left style="thin">
        <color auto="1"/>
      </left>
      <right style="mediumDashed">
        <color auto="1"/>
      </right>
      <top style="thin">
        <color auto="1"/>
      </top>
      <bottom style="thin">
        <color auto="1"/>
      </bottom>
      <diagonal/>
    </border>
    <border>
      <left style="mediumDashed">
        <color auto="1"/>
      </left>
      <right style="thin">
        <color auto="1"/>
      </right>
      <top style="thin">
        <color auto="1"/>
      </top>
      <bottom style="thick">
        <color auto="1"/>
      </bottom>
      <diagonal/>
    </border>
    <border>
      <left style="thin">
        <color auto="1"/>
      </left>
      <right style="mediumDashed">
        <color auto="1"/>
      </right>
      <top style="thin">
        <color auto="1"/>
      </top>
      <bottom style="thick">
        <color auto="1"/>
      </bottom>
      <diagonal/>
    </border>
    <border>
      <left/>
      <right/>
      <top/>
      <bottom style="thick">
        <color auto="1"/>
      </bottom>
      <diagonal/>
    </border>
    <border>
      <left style="thin">
        <color auto="1"/>
      </left>
      <right style="thin">
        <color auto="1"/>
      </right>
      <top style="medium">
        <color auto="1"/>
      </top>
      <bottom style="thin">
        <color auto="1"/>
      </bottom>
      <diagonal/>
    </border>
    <border>
      <left style="thin">
        <color auto="1"/>
      </left>
      <right style="mediumDashed">
        <color auto="1"/>
      </right>
      <top style="medium">
        <color auto="1"/>
      </top>
      <bottom style="thin">
        <color auto="1"/>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80">
    <xf numFmtId="0" fontId="0" fillId="0" borderId="0" xfId="0">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right" vertical="center"/>
    </xf>
    <xf numFmtId="0" fontId="0" fillId="0" borderId="0" xfId="0" applyAlignment="1">
      <alignment horizontal="left" vertical="center"/>
    </xf>
    <xf numFmtId="0" fontId="0" fillId="0" borderId="0" xfId="0" applyAlignment="1">
      <alignment horizontal="center" vertical="center"/>
    </xf>
    <xf numFmtId="0" fontId="0" fillId="0" borderId="5" xfId="0" applyBorder="1" applyAlignment="1">
      <alignment vertical="center"/>
    </xf>
    <xf numFmtId="0" fontId="0" fillId="0" borderId="8" xfId="0" applyBorder="1" applyAlignment="1">
      <alignment vertical="center"/>
    </xf>
    <xf numFmtId="0" fontId="0" fillId="0" borderId="11" xfId="0" applyBorder="1" applyAlignment="1">
      <alignment vertical="center"/>
    </xf>
    <xf numFmtId="0" fontId="0" fillId="0" borderId="14" xfId="0" applyBorder="1" applyAlignment="1">
      <alignment horizontal="center" vertical="center"/>
    </xf>
    <xf numFmtId="0" fontId="0" fillId="2" borderId="0" xfId="0" applyFill="1">
      <alignment vertical="center"/>
    </xf>
    <xf numFmtId="0" fontId="0" fillId="2" borderId="0" xfId="0" applyFill="1" applyAlignment="1">
      <alignment vertical="center"/>
    </xf>
    <xf numFmtId="0" fontId="0" fillId="2" borderId="0" xfId="0" applyFill="1" applyAlignment="1">
      <alignment horizontal="left" vertical="center"/>
    </xf>
    <xf numFmtId="0" fontId="8" fillId="0" borderId="0" xfId="1">
      <alignment vertical="center"/>
    </xf>
    <xf numFmtId="0" fontId="9" fillId="0" borderId="0" xfId="0" applyFont="1">
      <alignment vertical="center"/>
    </xf>
    <xf numFmtId="0" fontId="8" fillId="0" borderId="0" xfId="1" applyAlignment="1">
      <alignment horizontal="center" vertical="center"/>
    </xf>
    <xf numFmtId="0" fontId="3" fillId="3" borderId="0" xfId="0" applyFont="1" applyFill="1" applyAlignment="1">
      <alignment horizontal="center" vertical="center"/>
    </xf>
    <xf numFmtId="0" fontId="3" fillId="3" borderId="32" xfId="0" applyFont="1" applyFill="1" applyBorder="1" applyAlignment="1">
      <alignment horizontal="center" vertical="center"/>
    </xf>
    <xf numFmtId="0" fontId="0" fillId="0" borderId="7" xfId="0" applyBorder="1" applyAlignment="1">
      <alignment horizontal="left" vertical="center"/>
    </xf>
    <xf numFmtId="0" fontId="0" fillId="0" borderId="19" xfId="0" applyBorder="1" applyAlignment="1">
      <alignment horizontal="left" vertical="center"/>
    </xf>
    <xf numFmtId="0" fontId="0" fillId="0" borderId="30" xfId="0" applyBorder="1" applyAlignment="1">
      <alignment horizontal="left" vertical="center"/>
    </xf>
    <xf numFmtId="0" fontId="0" fillId="0" borderId="8" xfId="0" applyBorder="1" applyAlignment="1">
      <alignment horizontal="left" vertical="center"/>
    </xf>
    <xf numFmtId="0" fontId="0" fillId="0" borderId="8" xfId="0" applyBorder="1" applyAlignment="1">
      <alignment horizontal="left" vertical="center" shrinkToFit="1"/>
    </xf>
    <xf numFmtId="0" fontId="0" fillId="0" borderId="31" xfId="0" applyBorder="1" applyAlignment="1">
      <alignment horizontal="left" vertical="center" shrinkToFit="1"/>
    </xf>
    <xf numFmtId="0" fontId="0" fillId="0" borderId="23" xfId="0" applyBorder="1" applyAlignment="1">
      <alignment horizontal="left" vertical="center" shrinkToFit="1"/>
    </xf>
    <xf numFmtId="0" fontId="0" fillId="0" borderId="19" xfId="0" applyBorder="1" applyAlignment="1">
      <alignment horizontal="left" vertical="center" shrinkToFit="1"/>
    </xf>
    <xf numFmtId="0" fontId="0" fillId="0" borderId="9" xfId="0" applyBorder="1" applyAlignment="1">
      <alignment horizontal="left" vertical="center" shrinkToFit="1"/>
    </xf>
    <xf numFmtId="176" fontId="0" fillId="0" borderId="23" xfId="0" applyNumberFormat="1" applyBorder="1" applyAlignment="1">
      <alignment horizontal="left" vertical="center"/>
    </xf>
    <xf numFmtId="176" fontId="0" fillId="0" borderId="31" xfId="0" applyNumberFormat="1" applyBorder="1" applyAlignment="1">
      <alignment horizontal="left" vertical="center"/>
    </xf>
    <xf numFmtId="176" fontId="0" fillId="0" borderId="9" xfId="0" applyNumberFormat="1" applyBorder="1" applyAlignment="1">
      <alignment horizontal="left" vertical="center"/>
    </xf>
    <xf numFmtId="0" fontId="0" fillId="0" borderId="4" xfId="0" applyBorder="1" applyAlignment="1">
      <alignment horizontal="left" vertical="center"/>
    </xf>
    <xf numFmtId="0" fontId="0" fillId="0" borderId="18" xfId="0" applyBorder="1" applyAlignment="1">
      <alignment horizontal="left" vertical="center"/>
    </xf>
    <xf numFmtId="0" fontId="0" fillId="0" borderId="28" xfId="0" applyBorder="1" applyAlignment="1">
      <alignment horizontal="left" vertical="center"/>
    </xf>
    <xf numFmtId="0" fontId="0" fillId="0" borderId="5" xfId="0" applyBorder="1" applyAlignment="1">
      <alignment horizontal="left" vertical="center"/>
    </xf>
    <xf numFmtId="0" fontId="0" fillId="0" borderId="5" xfId="0" applyBorder="1" applyAlignment="1">
      <alignment horizontal="left" vertical="center" shrinkToFit="1"/>
    </xf>
    <xf numFmtId="0" fontId="0" fillId="0" borderId="29" xfId="0" applyBorder="1" applyAlignment="1">
      <alignment horizontal="left" vertical="center" shrinkToFit="1"/>
    </xf>
    <xf numFmtId="0" fontId="0" fillId="0" borderId="22" xfId="0" applyBorder="1" applyAlignment="1">
      <alignment horizontal="left" vertical="center" shrinkToFit="1"/>
    </xf>
    <xf numFmtId="0" fontId="0" fillId="0" borderId="18" xfId="0" applyBorder="1" applyAlignment="1">
      <alignment horizontal="left" vertical="center" shrinkToFit="1"/>
    </xf>
    <xf numFmtId="0" fontId="0" fillId="0" borderId="6" xfId="0" applyBorder="1" applyAlignment="1">
      <alignment horizontal="left" vertical="center" shrinkToFit="1"/>
    </xf>
    <xf numFmtId="176" fontId="0" fillId="0" borderId="22" xfId="0" applyNumberFormat="1" applyBorder="1" applyAlignment="1">
      <alignment horizontal="left" vertical="center"/>
    </xf>
    <xf numFmtId="176" fontId="0" fillId="0" borderId="29" xfId="0" applyNumberFormat="1" applyBorder="1" applyAlignment="1">
      <alignment horizontal="left" vertical="center"/>
    </xf>
    <xf numFmtId="176" fontId="0" fillId="0" borderId="6" xfId="0" applyNumberFormat="1" applyBorder="1" applyAlignment="1">
      <alignment horizontal="left" vertical="center"/>
    </xf>
    <xf numFmtId="0" fontId="2" fillId="0" borderId="24" xfId="0" applyFont="1" applyBorder="1" applyAlignment="1">
      <alignment horizontal="center" vertical="center" shrinkToFit="1"/>
    </xf>
    <xf numFmtId="0" fontId="2" fillId="0" borderId="14" xfId="0" applyFont="1" applyBorder="1" applyAlignment="1">
      <alignment horizontal="center" vertical="center" shrinkToFit="1"/>
    </xf>
    <xf numFmtId="0" fontId="0" fillId="0" borderId="1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left" vertical="center"/>
    </xf>
    <xf numFmtId="0" fontId="0" fillId="0" borderId="11" xfId="0" applyBorder="1" applyAlignment="1">
      <alignment horizontal="left" vertical="center"/>
    </xf>
    <xf numFmtId="0" fontId="0" fillId="0" borderId="33" xfId="0" applyBorder="1" applyAlignment="1">
      <alignment horizontal="left" vertical="center" shrinkToFit="1"/>
    </xf>
    <xf numFmtId="0" fontId="0" fillId="0" borderId="34" xfId="0" applyBorder="1" applyAlignment="1">
      <alignment horizontal="left" vertical="center" shrinkToFit="1"/>
    </xf>
    <xf numFmtId="0" fontId="0" fillId="0" borderId="20" xfId="0" applyBorder="1" applyAlignment="1">
      <alignment horizontal="center" vertical="center"/>
    </xf>
    <xf numFmtId="0" fontId="0" fillId="0" borderId="16" xfId="0" applyBorder="1" applyAlignment="1">
      <alignment horizontal="center" vertical="center"/>
    </xf>
    <xf numFmtId="0" fontId="0" fillId="0" borderId="21" xfId="0" applyBorder="1" applyAlignment="1">
      <alignment horizontal="left" vertical="center" shrinkToFit="1"/>
    </xf>
    <xf numFmtId="0" fontId="0" fillId="0" borderId="11" xfId="0" applyBorder="1" applyAlignment="1">
      <alignment horizontal="left" vertical="center" shrinkToFit="1"/>
    </xf>
    <xf numFmtId="0" fontId="0" fillId="0" borderId="17" xfId="0" applyBorder="1" applyAlignment="1">
      <alignment horizontal="left" vertical="center" shrinkToFit="1"/>
    </xf>
    <xf numFmtId="176" fontId="0" fillId="0" borderId="5" xfId="0" applyNumberFormat="1" applyBorder="1" applyAlignment="1">
      <alignment horizontal="left" vertical="center"/>
    </xf>
    <xf numFmtId="176" fontId="0" fillId="0" borderId="8" xfId="0" applyNumberFormat="1" applyBorder="1" applyAlignment="1">
      <alignment horizontal="left"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left" vertical="center"/>
    </xf>
    <xf numFmtId="0" fontId="0" fillId="0" borderId="6" xfId="0" applyBorder="1" applyAlignment="1">
      <alignment horizontal="left"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right" vertical="center"/>
    </xf>
    <xf numFmtId="0" fontId="0" fillId="0" borderId="2" xfId="0" applyBorder="1" applyAlignment="1">
      <alignment horizontal="right"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7" xfId="0" applyBorder="1" applyAlignment="1">
      <alignment horizontal="right" vertical="center"/>
    </xf>
    <xf numFmtId="0" fontId="0" fillId="0" borderId="8" xfId="0" applyBorder="1" applyAlignment="1">
      <alignment horizontal="right"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17"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left" vertical="center" shrinkToFit="1"/>
    </xf>
    <xf numFmtId="176" fontId="0" fillId="0" borderId="21" xfId="0" applyNumberFormat="1" applyBorder="1" applyAlignment="1">
      <alignment horizontal="left" vertical="center"/>
    </xf>
    <xf numFmtId="176" fontId="0" fillId="0" borderId="27" xfId="0" applyNumberFormat="1" applyBorder="1" applyAlignment="1">
      <alignment horizontal="left" vertical="center"/>
    </xf>
    <xf numFmtId="176" fontId="0" fillId="0" borderId="12" xfId="0" applyNumberFormat="1" applyBorder="1" applyAlignment="1">
      <alignment horizontal="left" vertical="center"/>
    </xf>
  </cellXfs>
  <cellStyles count="2">
    <cellStyle name="ハイパーリンク" xfId="1" builtinId="8"/>
    <cellStyle name="標準" xfId="0" builtinId="0"/>
  </cellStyles>
  <dxfs count="5">
    <dxf>
      <fill>
        <patternFill>
          <bgColor theme="1" tint="0.499984740745262"/>
        </patternFill>
      </fill>
    </dxf>
    <dxf>
      <fill>
        <patternFill>
          <bgColor theme="1" tint="0.499984740745262"/>
        </patternFill>
      </fill>
    </dxf>
    <dxf>
      <fill>
        <patternFill>
          <bgColor rgb="FFFFC000"/>
        </patternFill>
      </fill>
    </dxf>
    <dxf>
      <font>
        <b/>
        <i val="0"/>
        <color rgb="FF00B050"/>
      </font>
      <fill>
        <patternFill>
          <bgColor theme="9" tint="0.79998168889431442"/>
        </patternFill>
      </fill>
    </dxf>
    <dxf>
      <font>
        <b/>
        <i val="0"/>
        <color rgb="FFFF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17</xdr:col>
      <xdr:colOff>0</xdr:colOff>
      <xdr:row>0</xdr:row>
      <xdr:rowOff>76200</xdr:rowOff>
    </xdr:from>
    <xdr:to>
      <xdr:col>18</xdr:col>
      <xdr:colOff>800100</xdr:colOff>
      <xdr:row>2</xdr:row>
      <xdr:rowOff>171450</xdr:rowOff>
    </xdr:to>
    <xdr:sp macro="[0]!getChangeFiles" textlink="">
      <xdr:nvSpPr>
        <xdr:cNvPr id="2" name="getChangeFilesBtn"/>
        <xdr:cNvSpPr/>
      </xdr:nvSpPr>
      <xdr:spPr>
        <a:xfrm>
          <a:off x="14249400" y="76200"/>
          <a:ext cx="1638300" cy="590550"/>
        </a:xfrm>
        <a:prstGeom prst="round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latin typeface="メイリオ" panose="020B0604030504040204" pitchFamily="50" charset="-128"/>
              <a:ea typeface="メイリオ" panose="020B0604030504040204" pitchFamily="50" charset="-128"/>
              <a:cs typeface="メイリオ" panose="020B0604030504040204" pitchFamily="50" charset="-128"/>
            </a:rPr>
            <a:t>ファイル名取得</a:t>
          </a:r>
        </a:p>
      </xdr:txBody>
    </xdr:sp>
    <xdr:clientData/>
  </xdr:twoCellAnchor>
  <xdr:twoCellAnchor>
    <xdr:from>
      <xdr:col>12</xdr:col>
      <xdr:colOff>19050</xdr:colOff>
      <xdr:row>0</xdr:row>
      <xdr:rowOff>66675</xdr:rowOff>
    </xdr:from>
    <xdr:to>
      <xdr:col>15</xdr:col>
      <xdr:colOff>790575</xdr:colOff>
      <xdr:row>2</xdr:row>
      <xdr:rowOff>161925</xdr:rowOff>
    </xdr:to>
    <xdr:sp macro="[0]!PDFPropertyChanger" textlink="">
      <xdr:nvSpPr>
        <xdr:cNvPr id="3" name="角丸四角形 2"/>
        <xdr:cNvSpPr/>
      </xdr:nvSpPr>
      <xdr:spPr>
        <a:xfrm>
          <a:off x="10077450" y="66675"/>
          <a:ext cx="3286125" cy="590550"/>
        </a:xfrm>
        <a:prstGeom prst="roundRect">
          <a:avLst/>
        </a:prstGeom>
        <a:solidFill>
          <a:srgbClr val="00B05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プロパティ変更開始</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34</xdr:row>
      <xdr:rowOff>85725</xdr:rowOff>
    </xdr:from>
    <xdr:to>
      <xdr:col>6</xdr:col>
      <xdr:colOff>257792</xdr:colOff>
      <xdr:row>46</xdr:row>
      <xdr:rowOff>143298</xdr:rowOff>
    </xdr:to>
    <xdr:pic>
      <xdr:nvPicPr>
        <xdr:cNvPr id="7" name="図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8010525"/>
          <a:ext cx="4420217" cy="3029373"/>
        </a:xfrm>
        <a:prstGeom prst="rect">
          <a:avLst/>
        </a:prstGeom>
      </xdr:spPr>
    </xdr:pic>
    <xdr:clientData/>
  </xdr:twoCellAnchor>
  <xdr:twoCellAnchor editAs="oneCell">
    <xdr:from>
      <xdr:col>1</xdr:col>
      <xdr:colOff>0</xdr:colOff>
      <xdr:row>11</xdr:row>
      <xdr:rowOff>38100</xdr:rowOff>
    </xdr:from>
    <xdr:to>
      <xdr:col>3</xdr:col>
      <xdr:colOff>771867</xdr:colOff>
      <xdr:row>18</xdr:row>
      <xdr:rowOff>57395</xdr:rowOff>
    </xdr:to>
    <xdr:pic>
      <xdr:nvPicPr>
        <xdr:cNvPr id="2" name="図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8600" y="2266950"/>
          <a:ext cx="2448267" cy="1752845"/>
        </a:xfrm>
        <a:prstGeom prst="rect">
          <a:avLst/>
        </a:prstGeom>
      </xdr:spPr>
    </xdr:pic>
    <xdr:clientData/>
  </xdr:twoCellAnchor>
  <xdr:twoCellAnchor editAs="oneCell">
    <xdr:from>
      <xdr:col>1</xdr:col>
      <xdr:colOff>38100</xdr:colOff>
      <xdr:row>20</xdr:row>
      <xdr:rowOff>200025</xdr:rowOff>
    </xdr:from>
    <xdr:to>
      <xdr:col>6</xdr:col>
      <xdr:colOff>153001</xdr:colOff>
      <xdr:row>32</xdr:row>
      <xdr:rowOff>152808</xdr:rowOff>
    </xdr:to>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6700" y="4657725"/>
          <a:ext cx="4305901" cy="2924583"/>
        </a:xfrm>
        <a:prstGeom prst="rect">
          <a:avLst/>
        </a:prstGeom>
      </xdr:spPr>
    </xdr:pic>
    <xdr:clientData/>
  </xdr:twoCellAnchor>
  <xdr:twoCellAnchor>
    <xdr:from>
      <xdr:col>1</xdr:col>
      <xdr:colOff>85725</xdr:colOff>
      <xdr:row>38</xdr:row>
      <xdr:rowOff>9525</xdr:rowOff>
    </xdr:from>
    <xdr:to>
      <xdr:col>3</xdr:col>
      <xdr:colOff>285750</xdr:colOff>
      <xdr:row>38</xdr:row>
      <xdr:rowOff>200025</xdr:rowOff>
    </xdr:to>
    <xdr:sp macro="" textlink="">
      <xdr:nvSpPr>
        <xdr:cNvPr id="4" name="正方形/長方形 3"/>
        <xdr:cNvSpPr/>
      </xdr:nvSpPr>
      <xdr:spPr>
        <a:xfrm>
          <a:off x="314325" y="8924925"/>
          <a:ext cx="1876425" cy="1905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76200</xdr:colOff>
      <xdr:row>21</xdr:row>
      <xdr:rowOff>180974</xdr:rowOff>
    </xdr:from>
    <xdr:to>
      <xdr:col>6</xdr:col>
      <xdr:colOff>114300</xdr:colOff>
      <xdr:row>22</xdr:row>
      <xdr:rowOff>190499</xdr:rowOff>
    </xdr:to>
    <xdr:sp macro="" textlink="">
      <xdr:nvSpPr>
        <xdr:cNvPr id="5" name="正方形/長方形 4"/>
        <xdr:cNvSpPr/>
      </xdr:nvSpPr>
      <xdr:spPr>
        <a:xfrm>
          <a:off x="3657600" y="4886324"/>
          <a:ext cx="876300" cy="25717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66676</xdr:colOff>
      <xdr:row>25</xdr:row>
      <xdr:rowOff>171450</xdr:rowOff>
    </xdr:from>
    <xdr:to>
      <xdr:col>7</xdr:col>
      <xdr:colOff>600076</xdr:colOff>
      <xdr:row>27</xdr:row>
      <xdr:rowOff>104775</xdr:rowOff>
    </xdr:to>
    <xdr:sp macro="" textlink="">
      <xdr:nvSpPr>
        <xdr:cNvPr id="6" name="角丸四角形吹き出し 5"/>
        <xdr:cNvSpPr/>
      </xdr:nvSpPr>
      <xdr:spPr>
        <a:xfrm>
          <a:off x="1971676" y="5867400"/>
          <a:ext cx="3886200" cy="428625"/>
        </a:xfrm>
        <a:prstGeom prst="wedgeRoundRectCallout">
          <a:avLst>
            <a:gd name="adj1" fmla="val -73114"/>
            <a:gd name="adj2" fmla="val -47565"/>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latin typeface="メイリオ" panose="020B0604030504040204" pitchFamily="50" charset="-128"/>
              <a:ea typeface="メイリオ" panose="020B0604030504040204" pitchFamily="50" charset="-128"/>
              <a:cs typeface="メイリオ" panose="020B0604030504040204" pitchFamily="50" charset="-128"/>
            </a:rPr>
            <a:t>「</a:t>
          </a:r>
          <a:r>
            <a:rPr kumimoji="1" lang="en-US" altLang="ja-JP" sz="1100">
              <a:latin typeface="メイリオ" panose="020B0604030504040204" pitchFamily="50" charset="-128"/>
              <a:ea typeface="メイリオ" panose="020B0604030504040204" pitchFamily="50" charset="-128"/>
              <a:cs typeface="メイリオ" panose="020B0604030504040204" pitchFamily="50" charset="-128"/>
            </a:rPr>
            <a:t>Acrobat</a:t>
          </a:r>
          <a:r>
            <a:rPr kumimoji="1" lang="ja-JP" altLang="en-US" sz="1100">
              <a:latin typeface="メイリオ" panose="020B0604030504040204" pitchFamily="50" charset="-128"/>
              <a:ea typeface="メイリオ" panose="020B0604030504040204" pitchFamily="50" charset="-128"/>
              <a:cs typeface="メイリオ" panose="020B0604030504040204" pitchFamily="50" charset="-128"/>
            </a:rPr>
            <a:t>」にチェックを入れて、</a:t>
          </a:r>
          <a:r>
            <a:rPr kumimoji="1" lang="en-US" altLang="ja-JP" sz="1100">
              <a:latin typeface="メイリオ" panose="020B0604030504040204" pitchFamily="50" charset="-128"/>
              <a:ea typeface="メイリオ" panose="020B0604030504040204" pitchFamily="50" charset="-128"/>
              <a:cs typeface="メイリオ" panose="020B0604030504040204" pitchFamily="50" charset="-128"/>
            </a:rPr>
            <a:t>OK</a:t>
          </a:r>
          <a:r>
            <a:rPr kumimoji="1" lang="ja-JP" altLang="en-US" sz="1100">
              <a:latin typeface="メイリオ" panose="020B0604030504040204" pitchFamily="50" charset="-128"/>
              <a:ea typeface="メイリオ" panose="020B0604030504040204" pitchFamily="50" charset="-128"/>
              <a:cs typeface="メイリオ" panose="020B0604030504040204" pitchFamily="50" charset="-128"/>
            </a:rPr>
            <a:t>ボタンを押下する</a:t>
          </a:r>
        </a:p>
      </xdr:txBody>
    </xdr:sp>
    <xdr:clientData/>
  </xdr:twoCellAnchor>
  <xdr:twoCellAnchor>
    <xdr:from>
      <xdr:col>1</xdr:col>
      <xdr:colOff>85725</xdr:colOff>
      <xdr:row>25</xdr:row>
      <xdr:rowOff>76200</xdr:rowOff>
    </xdr:from>
    <xdr:to>
      <xdr:col>1</xdr:col>
      <xdr:colOff>800100</xdr:colOff>
      <xdr:row>26</xdr:row>
      <xdr:rowOff>19050</xdr:rowOff>
    </xdr:to>
    <xdr:sp macro="" textlink="">
      <xdr:nvSpPr>
        <xdr:cNvPr id="8" name="正方形/長方形 7"/>
        <xdr:cNvSpPr/>
      </xdr:nvSpPr>
      <xdr:spPr>
        <a:xfrm>
          <a:off x="314325" y="5772150"/>
          <a:ext cx="714375" cy="1905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53</xdr:row>
      <xdr:rowOff>0</xdr:rowOff>
    </xdr:from>
    <xdr:to>
      <xdr:col>12</xdr:col>
      <xdr:colOff>277550</xdr:colOff>
      <xdr:row>69</xdr:row>
      <xdr:rowOff>181553</xdr:rowOff>
    </xdr:to>
    <xdr:pic>
      <xdr:nvPicPr>
        <xdr:cNvPr id="9" name="図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8600" y="12630150"/>
          <a:ext cx="9497750" cy="4143953"/>
        </a:xfrm>
        <a:prstGeom prst="rect">
          <a:avLst/>
        </a:prstGeom>
      </xdr:spPr>
    </xdr:pic>
    <xdr:clientData/>
  </xdr:twoCellAnchor>
  <xdr:twoCellAnchor editAs="oneCell">
    <xdr:from>
      <xdr:col>1</xdr:col>
      <xdr:colOff>0</xdr:colOff>
      <xdr:row>96</xdr:row>
      <xdr:rowOff>0</xdr:rowOff>
    </xdr:from>
    <xdr:to>
      <xdr:col>13</xdr:col>
      <xdr:colOff>0</xdr:colOff>
      <xdr:row>107</xdr:row>
      <xdr:rowOff>85815</xdr:rowOff>
    </xdr:to>
    <xdr:pic>
      <xdr:nvPicPr>
        <xdr:cNvPr id="11" name="図 1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8600" y="23774400"/>
          <a:ext cx="10058400" cy="280996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pdf-file.nnn2.com/?p=20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56"/>
  <sheetViews>
    <sheetView tabSelected="1" zoomScaleNormal="100" workbookViewId="0">
      <selection activeCell="B4" sqref="B4"/>
    </sheetView>
  </sheetViews>
  <sheetFormatPr defaultRowHeight="19.5" x14ac:dyDescent="0.45"/>
  <cols>
    <col min="1" max="4" width="8.796875" customWidth="1"/>
    <col min="5" max="5" width="9.3984375" customWidth="1"/>
    <col min="6" max="11" width="8.796875" customWidth="1"/>
    <col min="12" max="12" width="8.19921875" style="10" customWidth="1"/>
    <col min="15" max="20" width="8.796875" customWidth="1"/>
    <col min="25" max="34" width="8.796875" customWidth="1"/>
    <col min="35" max="38" width="8.796875" hidden="1" customWidth="1"/>
  </cols>
  <sheetData>
    <row r="1" spans="1:38" x14ac:dyDescent="0.45">
      <c r="C1" s="16" t="s">
        <v>54</v>
      </c>
      <c r="D1" s="16"/>
      <c r="E1" s="16"/>
      <c r="F1" s="16"/>
      <c r="G1" s="16"/>
      <c r="H1" s="16"/>
      <c r="I1" s="16"/>
      <c r="J1" s="16"/>
      <c r="K1" s="16"/>
    </row>
    <row r="2" spans="1:38" x14ac:dyDescent="0.45">
      <c r="C2" s="16"/>
      <c r="D2" s="16"/>
      <c r="E2" s="16"/>
      <c r="F2" s="16"/>
      <c r="G2" s="16"/>
      <c r="H2" s="16"/>
      <c r="I2" s="16"/>
      <c r="J2" s="16"/>
      <c r="K2" s="16"/>
    </row>
    <row r="3" spans="1:38" ht="20.25" thickBot="1" x14ac:dyDescent="0.5">
      <c r="C3" s="17"/>
      <c r="D3" s="17"/>
      <c r="E3" s="17"/>
      <c r="F3" s="17"/>
      <c r="G3" s="17"/>
      <c r="H3" s="17"/>
      <c r="I3" s="17"/>
      <c r="J3" s="17"/>
      <c r="K3" s="17"/>
    </row>
    <row r="4" spans="1:38" ht="21" thickTop="1" thickBot="1" x14ac:dyDescent="0.5">
      <c r="A4" s="5" t="s">
        <v>51</v>
      </c>
      <c r="B4" s="2" t="b">
        <v>1</v>
      </c>
      <c r="C4" s="66" t="s">
        <v>0</v>
      </c>
      <c r="D4" s="67"/>
      <c r="E4" s="68"/>
      <c r="F4" s="68"/>
      <c r="G4" s="68"/>
      <c r="H4" s="68"/>
      <c r="I4" s="68"/>
      <c r="J4" s="68"/>
      <c r="K4" s="69"/>
      <c r="L4" s="11"/>
      <c r="M4" s="65" t="s">
        <v>46</v>
      </c>
      <c r="N4" s="51"/>
      <c r="O4" s="42" t="s">
        <v>49</v>
      </c>
      <c r="P4" s="43"/>
      <c r="Q4" s="44" t="str">
        <f>"タイトル："&amp;$F$8</f>
        <v>タイトル：共通の文字列</v>
      </c>
      <c r="R4" s="44"/>
      <c r="S4" s="44"/>
      <c r="T4" s="45"/>
      <c r="U4" s="50" t="str">
        <f>"作成者："&amp;$F$9</f>
        <v>作成者：共通の文字列</v>
      </c>
      <c r="V4" s="44"/>
      <c r="W4" s="44"/>
      <c r="X4" s="51"/>
      <c r="Y4" s="42" t="s">
        <v>50</v>
      </c>
      <c r="Z4" s="43"/>
      <c r="AA4" s="44" t="str">
        <f>"サブタイトル："&amp;$F$10</f>
        <v>サブタイトル：共通の文字列</v>
      </c>
      <c r="AB4" s="44"/>
      <c r="AC4" s="44"/>
      <c r="AD4" s="45"/>
      <c r="AE4" s="50" t="str">
        <f>"キーワード："&amp;$F$11</f>
        <v>キーワード：共通の文字列</v>
      </c>
      <c r="AF4" s="44"/>
      <c r="AG4" s="44"/>
      <c r="AH4" s="61"/>
      <c r="AI4" s="50" t="s">
        <v>52</v>
      </c>
      <c r="AJ4" s="45"/>
      <c r="AK4" s="50" t="s">
        <v>53</v>
      </c>
      <c r="AL4" s="61"/>
    </row>
    <row r="5" spans="1:38" ht="20.25" thickBot="1" x14ac:dyDescent="0.5">
      <c r="C5" s="70" t="s">
        <v>4</v>
      </c>
      <c r="D5" s="71"/>
      <c r="E5" s="21"/>
      <c r="F5" s="21"/>
      <c r="G5" s="21"/>
      <c r="H5" s="21"/>
      <c r="I5" s="21"/>
      <c r="J5" s="21"/>
      <c r="K5" s="72"/>
      <c r="L5" s="11"/>
      <c r="M5" s="73"/>
      <c r="N5" s="74"/>
      <c r="O5" s="46"/>
      <c r="P5" s="47"/>
      <c r="Q5" s="48" t="str">
        <f>IF($F$8=list!$B$5,SUBSTITUTE($M5,".pdf",""),IF($H$8="","",IF($F$8=list!$B$1,$H$8,IF($F$8=list!$B$2,$O5,IF($F$8=list!$B$3,$H$8&amp;$O5,IF($F$8=list!$B$4,$O5&amp;$H$8,""))))))</f>
        <v/>
      </c>
      <c r="R5" s="48"/>
      <c r="S5" s="48"/>
      <c r="T5" s="49"/>
      <c r="U5" s="52" t="str">
        <f t="shared" ref="U5:U55" si="0">IF($H$9="","",$H$9)</f>
        <v/>
      </c>
      <c r="V5" s="53"/>
      <c r="W5" s="53"/>
      <c r="X5" s="54"/>
      <c r="Y5" s="46"/>
      <c r="Z5" s="47"/>
      <c r="AA5" s="48" t="str">
        <f>IF($F$10=list!$B$5,SUBSTITUTE($M5,".pdf",""),IF($H$10="","",IF($F$10=list!$B$1,$H$10,IF($F$10=list!$B$2,$Y5,IF($F$10=list!$B$3,$H$10&amp;$Y5,IF($F$10=list!$B$4,$Y5&amp;$H$10,""))))))</f>
        <v/>
      </c>
      <c r="AB5" s="48"/>
      <c r="AC5" s="48"/>
      <c r="AD5" s="49"/>
      <c r="AE5" s="52" t="str">
        <f>IF($H$11="","",$H$11)</f>
        <v/>
      </c>
      <c r="AF5" s="53"/>
      <c r="AG5" s="53"/>
      <c r="AH5" s="76"/>
      <c r="AI5" s="77" t="str">
        <f>IF($H$14="","",$H$14)</f>
        <v/>
      </c>
      <c r="AJ5" s="78"/>
      <c r="AK5" s="77" t="str">
        <f>IF($H$15="","",$H$15)</f>
        <v/>
      </c>
      <c r="AL5" s="79"/>
    </row>
    <row r="6" spans="1:38" ht="21" thickTop="1" thickBot="1" x14ac:dyDescent="0.5">
      <c r="E6" s="3"/>
      <c r="F6" s="4"/>
      <c r="G6" s="4"/>
      <c r="H6" s="4"/>
      <c r="I6" s="4"/>
      <c r="J6" s="4"/>
      <c r="K6" s="4"/>
      <c r="L6" s="11"/>
      <c r="M6" s="30"/>
      <c r="N6" s="31"/>
      <c r="O6" s="32"/>
      <c r="P6" s="33"/>
      <c r="Q6" s="34" t="str">
        <f>IF($F$8=list!$B$5,SUBSTITUTE($M6,".pdf",""),IF($H$8="","",IF($F$8=list!$B$1,$H$8,IF($F$8=list!$B$2,$O6,IF($F$8=list!$B$3,$H$8&amp;$O6,IF($F$8=list!$B$4,$O6&amp;$H$8,""))))))</f>
        <v/>
      </c>
      <c r="R6" s="34"/>
      <c r="S6" s="34"/>
      <c r="T6" s="35"/>
      <c r="U6" s="36" t="str">
        <f t="shared" si="0"/>
        <v/>
      </c>
      <c r="V6" s="34"/>
      <c r="W6" s="34"/>
      <c r="X6" s="37"/>
      <c r="Y6" s="32"/>
      <c r="Z6" s="33"/>
      <c r="AA6" s="34" t="str">
        <f>IF($F$10=list!$B$5,SUBSTITUTE($M6,".pdf",""),IF($H$10="","",IF($F$10=list!$B$1,$H$10,IF($F$10=list!$B$2,$Y6,IF($F$10=list!$B$3,$H$10&amp;$Y6,IF($F$10=list!$B$4,$Y6&amp;$H$10,""))))))</f>
        <v/>
      </c>
      <c r="AB6" s="34"/>
      <c r="AC6" s="34"/>
      <c r="AD6" s="35"/>
      <c r="AE6" s="36" t="str">
        <f t="shared" ref="AE6:AE55" si="1">IF($H$11="","",$H$11)</f>
        <v/>
      </c>
      <c r="AF6" s="34"/>
      <c r="AG6" s="34"/>
      <c r="AH6" s="38"/>
      <c r="AI6" s="39" t="str">
        <f t="shared" ref="AI6:AI55" si="2">IF($H$14="","",$H$14)</f>
        <v/>
      </c>
      <c r="AJ6" s="40"/>
      <c r="AK6" s="39" t="str">
        <f t="shared" ref="AK6:AK55" si="3">IF($H$15="","",$H$15)</f>
        <v/>
      </c>
      <c r="AL6" s="41"/>
    </row>
    <row r="7" spans="1:38" ht="21" thickTop="1" thickBot="1" x14ac:dyDescent="0.5">
      <c r="C7" s="65" t="s">
        <v>40</v>
      </c>
      <c r="D7" s="44"/>
      <c r="E7" s="9" t="s">
        <v>41</v>
      </c>
      <c r="F7" s="44" t="s">
        <v>47</v>
      </c>
      <c r="G7" s="44"/>
      <c r="H7" s="44" t="s">
        <v>42</v>
      </c>
      <c r="I7" s="44"/>
      <c r="J7" s="44"/>
      <c r="K7" s="61"/>
      <c r="L7" s="12"/>
      <c r="M7" s="30"/>
      <c r="N7" s="31"/>
      <c r="O7" s="32"/>
      <c r="P7" s="33"/>
      <c r="Q7" s="34" t="str">
        <f>IF($F$8=list!$B$5,SUBSTITUTE($M7,".pdf",""),IF($H$8="","",IF($F$8=list!$B$1,$H$8,IF($F$8=list!$B$2,$O7,IF($F$8=list!$B$3,$H$8&amp;$O7,IF($F$8=list!$B$4,$O7&amp;$H$8,""))))))</f>
        <v/>
      </c>
      <c r="R7" s="34"/>
      <c r="S7" s="34"/>
      <c r="T7" s="35"/>
      <c r="U7" s="36" t="str">
        <f t="shared" si="0"/>
        <v/>
      </c>
      <c r="V7" s="34"/>
      <c r="W7" s="34"/>
      <c r="X7" s="37"/>
      <c r="Y7" s="32"/>
      <c r="Z7" s="33"/>
      <c r="AA7" s="34" t="str">
        <f>IF($F$10=list!$B$5,SUBSTITUTE($M7,".pdf",""),IF($H$10="","",IF($F$10=list!$B$1,$H$10,IF($F$10=list!$B$2,$Y7,IF($F$10=list!$B$3,$H$10&amp;$Y7,IF($F$10=list!$B$4,$Y7&amp;$H$10,""))))))</f>
        <v/>
      </c>
      <c r="AB7" s="34"/>
      <c r="AC7" s="34"/>
      <c r="AD7" s="35"/>
      <c r="AE7" s="36" t="str">
        <f t="shared" si="1"/>
        <v/>
      </c>
      <c r="AF7" s="34"/>
      <c r="AG7" s="34"/>
      <c r="AH7" s="38"/>
      <c r="AI7" s="39" t="str">
        <f t="shared" si="2"/>
        <v/>
      </c>
      <c r="AJ7" s="40"/>
      <c r="AK7" s="39" t="str">
        <f t="shared" si="3"/>
        <v/>
      </c>
      <c r="AL7" s="41"/>
    </row>
    <row r="8" spans="1:38" x14ac:dyDescent="0.45">
      <c r="C8" s="75" t="s">
        <v>16</v>
      </c>
      <c r="D8" s="64"/>
      <c r="E8" s="8" t="b">
        <v>1</v>
      </c>
      <c r="F8" s="64" t="s">
        <v>42</v>
      </c>
      <c r="G8" s="64"/>
      <c r="H8" s="47"/>
      <c r="I8" s="47"/>
      <c r="J8" s="47"/>
      <c r="K8" s="62"/>
      <c r="L8" s="12"/>
      <c r="M8" s="30"/>
      <c r="N8" s="31"/>
      <c r="O8" s="32"/>
      <c r="P8" s="33"/>
      <c r="Q8" s="34" t="str">
        <f>IF($F$8=list!$B$5,SUBSTITUTE($M8,".pdf",""),IF($H$8="","",IF($F$8=list!$B$1,$H$8,IF($F$8=list!$B$2,$O8,IF($F$8=list!$B$3,$H$8&amp;$O8,IF($F$8=list!$B$4,$O8&amp;$H$8,""))))))</f>
        <v/>
      </c>
      <c r="R8" s="34"/>
      <c r="S8" s="34"/>
      <c r="T8" s="35"/>
      <c r="U8" s="36" t="str">
        <f t="shared" si="0"/>
        <v/>
      </c>
      <c r="V8" s="34"/>
      <c r="W8" s="34"/>
      <c r="X8" s="37"/>
      <c r="Y8" s="32"/>
      <c r="Z8" s="33"/>
      <c r="AA8" s="34" t="str">
        <f>IF($F$10=list!$B$5,SUBSTITUTE($M8,".pdf",""),IF($H$10="","",IF($F$10=list!$B$1,$H$10,IF($F$10=list!$B$2,$Y8,IF($F$10=list!$B$3,$H$10&amp;$Y8,IF($F$10=list!$B$4,$Y8&amp;$H$10,""))))))</f>
        <v/>
      </c>
      <c r="AB8" s="34"/>
      <c r="AC8" s="34"/>
      <c r="AD8" s="35"/>
      <c r="AE8" s="36" t="str">
        <f t="shared" si="1"/>
        <v/>
      </c>
      <c r="AF8" s="34"/>
      <c r="AG8" s="34"/>
      <c r="AH8" s="38"/>
      <c r="AI8" s="39" t="str">
        <f t="shared" si="2"/>
        <v/>
      </c>
      <c r="AJ8" s="40"/>
      <c r="AK8" s="39" t="str">
        <f t="shared" si="3"/>
        <v/>
      </c>
      <c r="AL8" s="41"/>
    </row>
    <row r="9" spans="1:38" x14ac:dyDescent="0.45">
      <c r="C9" s="59" t="s">
        <v>19</v>
      </c>
      <c r="D9" s="57"/>
      <c r="E9" s="6" t="b">
        <v>1</v>
      </c>
      <c r="F9" s="57" t="s">
        <v>42</v>
      </c>
      <c r="G9" s="57"/>
      <c r="H9" s="33"/>
      <c r="I9" s="33"/>
      <c r="J9" s="33"/>
      <c r="K9" s="63"/>
      <c r="L9" s="11"/>
      <c r="M9" s="30"/>
      <c r="N9" s="31"/>
      <c r="O9" s="32"/>
      <c r="P9" s="33"/>
      <c r="Q9" s="34" t="str">
        <f>IF($F$8=list!$B$5,SUBSTITUTE($M9,".pdf",""),IF($H$8="","",IF($F$8=list!$B$1,$H$8,IF($F$8=list!$B$2,$O9,IF($F$8=list!$B$3,$H$8&amp;$O9,IF($F$8=list!$B$4,$O9&amp;$H$8,""))))))</f>
        <v/>
      </c>
      <c r="R9" s="34"/>
      <c r="S9" s="34"/>
      <c r="T9" s="35"/>
      <c r="U9" s="36" t="str">
        <f t="shared" si="0"/>
        <v/>
      </c>
      <c r="V9" s="34"/>
      <c r="W9" s="34"/>
      <c r="X9" s="37"/>
      <c r="Y9" s="32"/>
      <c r="Z9" s="33"/>
      <c r="AA9" s="34" t="str">
        <f>IF($F$10=list!$B$5,SUBSTITUTE($M9,".pdf",""),IF($H$10="","",IF($F$10=list!$B$1,$H$10,IF($F$10=list!$B$2,$Y9,IF($F$10=list!$B$3,$H$10&amp;$Y9,IF($F$10=list!$B$4,$Y9&amp;$H$10,""))))))</f>
        <v/>
      </c>
      <c r="AB9" s="34"/>
      <c r="AC9" s="34"/>
      <c r="AD9" s="35"/>
      <c r="AE9" s="36" t="str">
        <f t="shared" si="1"/>
        <v/>
      </c>
      <c r="AF9" s="34"/>
      <c r="AG9" s="34"/>
      <c r="AH9" s="38"/>
      <c r="AI9" s="39" t="str">
        <f t="shared" si="2"/>
        <v/>
      </c>
      <c r="AJ9" s="40"/>
      <c r="AK9" s="39" t="str">
        <f t="shared" si="3"/>
        <v/>
      </c>
      <c r="AL9" s="41"/>
    </row>
    <row r="10" spans="1:38" x14ac:dyDescent="0.45">
      <c r="C10" s="59" t="s">
        <v>22</v>
      </c>
      <c r="D10" s="57"/>
      <c r="E10" s="6" t="b">
        <v>1</v>
      </c>
      <c r="F10" s="57" t="s">
        <v>42</v>
      </c>
      <c r="G10" s="57"/>
      <c r="H10" s="33"/>
      <c r="I10" s="33"/>
      <c r="J10" s="33"/>
      <c r="K10" s="63"/>
      <c r="L10" s="11"/>
      <c r="M10" s="30"/>
      <c r="N10" s="31"/>
      <c r="O10" s="32"/>
      <c r="P10" s="33"/>
      <c r="Q10" s="34" t="str">
        <f>IF($F$8=list!$B$5,SUBSTITUTE($M10,".pdf",""),IF($H$8="","",IF($F$8=list!$B$1,$H$8,IF($F$8=list!$B$2,$O10,IF($F$8=list!$B$3,$H$8&amp;$O10,IF($F$8=list!$B$4,$O10&amp;$H$8,""))))))</f>
        <v/>
      </c>
      <c r="R10" s="34"/>
      <c r="S10" s="34"/>
      <c r="T10" s="35"/>
      <c r="U10" s="36" t="str">
        <f t="shared" si="0"/>
        <v/>
      </c>
      <c r="V10" s="34"/>
      <c r="W10" s="34"/>
      <c r="X10" s="37"/>
      <c r="Y10" s="32"/>
      <c r="Z10" s="33"/>
      <c r="AA10" s="34" t="str">
        <f>IF($F$10=list!$B$5,SUBSTITUTE($M10,".pdf",""),IF($H$10="","",IF($F$10=list!$B$1,$H$10,IF($F$10=list!$B$2,$Y10,IF($F$10=list!$B$3,$H$10&amp;$Y10,IF($F$10=list!$B$4,$Y10&amp;$H$10,""))))))</f>
        <v/>
      </c>
      <c r="AB10" s="34"/>
      <c r="AC10" s="34"/>
      <c r="AD10" s="35"/>
      <c r="AE10" s="36" t="str">
        <f t="shared" si="1"/>
        <v/>
      </c>
      <c r="AF10" s="34"/>
      <c r="AG10" s="34"/>
      <c r="AH10" s="38"/>
      <c r="AI10" s="39" t="str">
        <f t="shared" si="2"/>
        <v/>
      </c>
      <c r="AJ10" s="40"/>
      <c r="AK10" s="39" t="str">
        <f t="shared" si="3"/>
        <v/>
      </c>
      <c r="AL10" s="41"/>
    </row>
    <row r="11" spans="1:38" x14ac:dyDescent="0.45">
      <c r="C11" s="59" t="s">
        <v>25</v>
      </c>
      <c r="D11" s="57"/>
      <c r="E11" s="6" t="b">
        <v>1</v>
      </c>
      <c r="F11" s="57" t="s">
        <v>42</v>
      </c>
      <c r="G11" s="57"/>
      <c r="H11" s="33"/>
      <c r="I11" s="33"/>
      <c r="J11" s="33"/>
      <c r="K11" s="63"/>
      <c r="L11" s="11"/>
      <c r="M11" s="30"/>
      <c r="N11" s="31"/>
      <c r="O11" s="32"/>
      <c r="P11" s="33"/>
      <c r="Q11" s="34" t="str">
        <f>IF($F$8=list!$B$5,SUBSTITUTE($M11,".pdf",""),IF($H$8="","",IF($F$8=list!$B$1,$H$8,IF($F$8=list!$B$2,$O11,IF($F$8=list!$B$3,$H$8&amp;$O11,IF($F$8=list!$B$4,$O11&amp;$H$8,""))))))</f>
        <v/>
      </c>
      <c r="R11" s="34"/>
      <c r="S11" s="34"/>
      <c r="T11" s="35"/>
      <c r="U11" s="36" t="str">
        <f t="shared" si="0"/>
        <v/>
      </c>
      <c r="V11" s="34"/>
      <c r="W11" s="34"/>
      <c r="X11" s="37"/>
      <c r="Y11" s="32"/>
      <c r="Z11" s="33"/>
      <c r="AA11" s="34" t="str">
        <f>IF($F$10=list!$B$5,SUBSTITUTE($M11,".pdf",""),IF($H$10="","",IF($F$10=list!$B$1,$H$10,IF($F$10=list!$B$2,$Y11,IF($F$10=list!$B$3,$H$10&amp;$Y11,IF($F$10=list!$B$4,$Y11&amp;$H$10,""))))))</f>
        <v/>
      </c>
      <c r="AB11" s="34"/>
      <c r="AC11" s="34"/>
      <c r="AD11" s="35"/>
      <c r="AE11" s="36" t="str">
        <f t="shared" si="1"/>
        <v/>
      </c>
      <c r="AF11" s="34"/>
      <c r="AG11" s="34"/>
      <c r="AH11" s="38"/>
      <c r="AI11" s="39" t="str">
        <f t="shared" si="2"/>
        <v/>
      </c>
      <c r="AJ11" s="40"/>
      <c r="AK11" s="39" t="str">
        <f t="shared" si="3"/>
        <v/>
      </c>
      <c r="AL11" s="41"/>
    </row>
    <row r="12" spans="1:38" x14ac:dyDescent="0.45">
      <c r="C12" s="59" t="s">
        <v>28</v>
      </c>
      <c r="D12" s="57"/>
      <c r="E12" s="6" t="b">
        <v>0</v>
      </c>
      <c r="F12" s="57" t="s">
        <v>48</v>
      </c>
      <c r="G12" s="57"/>
      <c r="H12" s="33"/>
      <c r="I12" s="33"/>
      <c r="J12" s="33"/>
      <c r="K12" s="63"/>
      <c r="L12" s="11"/>
      <c r="M12" s="30"/>
      <c r="N12" s="31"/>
      <c r="O12" s="32"/>
      <c r="P12" s="33"/>
      <c r="Q12" s="34" t="str">
        <f>IF($F$8=list!$B$5,SUBSTITUTE($M12,".pdf",""),IF($H$8="","",IF($F$8=list!$B$1,$H$8,IF($F$8=list!$B$2,$O12,IF($F$8=list!$B$3,$H$8&amp;$O12,IF($F$8=list!$B$4,$O12&amp;$H$8,""))))))</f>
        <v/>
      </c>
      <c r="R12" s="34"/>
      <c r="S12" s="34"/>
      <c r="T12" s="35"/>
      <c r="U12" s="36" t="str">
        <f t="shared" si="0"/>
        <v/>
      </c>
      <c r="V12" s="34"/>
      <c r="W12" s="34"/>
      <c r="X12" s="37"/>
      <c r="Y12" s="32"/>
      <c r="Z12" s="33"/>
      <c r="AA12" s="34" t="str">
        <f>IF($F$10=list!$B$5,SUBSTITUTE($M12,".pdf",""),IF($H$10="","",IF($F$10=list!$B$1,$H$10,IF($F$10=list!$B$2,$Y12,IF($F$10=list!$B$3,$H$10&amp;$Y12,IF($F$10=list!$B$4,$Y12&amp;$H$10,""))))))</f>
        <v/>
      </c>
      <c r="AB12" s="34"/>
      <c r="AC12" s="34"/>
      <c r="AD12" s="35"/>
      <c r="AE12" s="36" t="str">
        <f t="shared" si="1"/>
        <v/>
      </c>
      <c r="AF12" s="34"/>
      <c r="AG12" s="34"/>
      <c r="AH12" s="38"/>
      <c r="AI12" s="39" t="str">
        <f t="shared" si="2"/>
        <v/>
      </c>
      <c r="AJ12" s="40"/>
      <c r="AK12" s="39" t="str">
        <f t="shared" si="3"/>
        <v/>
      </c>
      <c r="AL12" s="41"/>
    </row>
    <row r="13" spans="1:38" x14ac:dyDescent="0.45">
      <c r="C13" s="59" t="s">
        <v>31</v>
      </c>
      <c r="D13" s="57"/>
      <c r="E13" s="6" t="b">
        <v>0</v>
      </c>
      <c r="F13" s="57" t="s">
        <v>48</v>
      </c>
      <c r="G13" s="57"/>
      <c r="H13" s="33"/>
      <c r="I13" s="33"/>
      <c r="J13" s="33"/>
      <c r="K13" s="63"/>
      <c r="L13" s="11"/>
      <c r="M13" s="30"/>
      <c r="N13" s="31"/>
      <c r="O13" s="32"/>
      <c r="P13" s="33"/>
      <c r="Q13" s="34" t="str">
        <f>IF($F$8=list!$B$5,SUBSTITUTE($M13,".pdf",""),IF($H$8="","",IF($F$8=list!$B$1,$H$8,IF($F$8=list!$B$2,$O13,IF($F$8=list!$B$3,$H$8&amp;$O13,IF($F$8=list!$B$4,$O13&amp;$H$8,""))))))</f>
        <v/>
      </c>
      <c r="R13" s="34"/>
      <c r="S13" s="34"/>
      <c r="T13" s="35"/>
      <c r="U13" s="36" t="str">
        <f t="shared" si="0"/>
        <v/>
      </c>
      <c r="V13" s="34"/>
      <c r="W13" s="34"/>
      <c r="X13" s="37"/>
      <c r="Y13" s="32"/>
      <c r="Z13" s="33"/>
      <c r="AA13" s="34" t="str">
        <f>IF($F$10=list!$B$5,SUBSTITUTE($M13,".pdf",""),IF($H$10="","",IF($F$10=list!$B$1,$H$10,IF($F$10=list!$B$2,$Y13,IF($F$10=list!$B$3,$H$10&amp;$Y13,IF($F$10=list!$B$4,$Y13&amp;$H$10,""))))))</f>
        <v/>
      </c>
      <c r="AB13" s="34"/>
      <c r="AC13" s="34"/>
      <c r="AD13" s="35"/>
      <c r="AE13" s="36" t="str">
        <f t="shared" si="1"/>
        <v/>
      </c>
      <c r="AF13" s="34"/>
      <c r="AG13" s="34"/>
      <c r="AH13" s="38"/>
      <c r="AI13" s="39" t="str">
        <f t="shared" si="2"/>
        <v/>
      </c>
      <c r="AJ13" s="40"/>
      <c r="AK13" s="39" t="str">
        <f t="shared" si="3"/>
        <v/>
      </c>
      <c r="AL13" s="41"/>
    </row>
    <row r="14" spans="1:38" x14ac:dyDescent="0.45">
      <c r="C14" s="59" t="s">
        <v>34</v>
      </c>
      <c r="D14" s="57"/>
      <c r="E14" s="6" t="b">
        <v>0</v>
      </c>
      <c r="F14" s="57" t="s">
        <v>48</v>
      </c>
      <c r="G14" s="57"/>
      <c r="H14" s="55"/>
      <c r="I14" s="55"/>
      <c r="J14" s="55"/>
      <c r="K14" s="41"/>
      <c r="L14" s="11"/>
      <c r="M14" s="30"/>
      <c r="N14" s="31"/>
      <c r="O14" s="32"/>
      <c r="P14" s="33"/>
      <c r="Q14" s="34" t="str">
        <f>IF($F$8=list!$B$5,SUBSTITUTE($M14,".pdf",""),IF($H$8="","",IF($F$8=list!$B$1,$H$8,IF($F$8=list!$B$2,$O14,IF($F$8=list!$B$3,$H$8&amp;$O14,IF($F$8=list!$B$4,$O14&amp;$H$8,""))))))</f>
        <v/>
      </c>
      <c r="R14" s="34"/>
      <c r="S14" s="34"/>
      <c r="T14" s="35"/>
      <c r="U14" s="36" t="str">
        <f t="shared" si="0"/>
        <v/>
      </c>
      <c r="V14" s="34"/>
      <c r="W14" s="34"/>
      <c r="X14" s="37"/>
      <c r="Y14" s="32"/>
      <c r="Z14" s="33"/>
      <c r="AA14" s="34" t="str">
        <f>IF($F$10=list!$B$5,SUBSTITUTE($M14,".pdf",""),IF($H$10="","",IF($F$10=list!$B$1,$H$10,IF($F$10=list!$B$2,$Y14,IF($F$10=list!$B$3,$H$10&amp;$Y14,IF($F$10=list!$B$4,$Y14&amp;$H$10,""))))))</f>
        <v/>
      </c>
      <c r="AB14" s="34"/>
      <c r="AC14" s="34"/>
      <c r="AD14" s="35"/>
      <c r="AE14" s="36" t="str">
        <f t="shared" si="1"/>
        <v/>
      </c>
      <c r="AF14" s="34"/>
      <c r="AG14" s="34"/>
      <c r="AH14" s="38"/>
      <c r="AI14" s="39" t="str">
        <f t="shared" si="2"/>
        <v/>
      </c>
      <c r="AJ14" s="40"/>
      <c r="AK14" s="39" t="str">
        <f t="shared" si="3"/>
        <v/>
      </c>
      <c r="AL14" s="41"/>
    </row>
    <row r="15" spans="1:38" ht="20.25" thickBot="1" x14ac:dyDescent="0.5">
      <c r="C15" s="60" t="s">
        <v>37</v>
      </c>
      <c r="D15" s="58"/>
      <c r="E15" s="7" t="b">
        <v>0</v>
      </c>
      <c r="F15" s="58" t="s">
        <v>48</v>
      </c>
      <c r="G15" s="58"/>
      <c r="H15" s="56"/>
      <c r="I15" s="56"/>
      <c r="J15" s="56"/>
      <c r="K15" s="29"/>
      <c r="L15" s="11"/>
      <c r="M15" s="30"/>
      <c r="N15" s="31"/>
      <c r="O15" s="32"/>
      <c r="P15" s="33"/>
      <c r="Q15" s="34" t="str">
        <f>IF($F$8=list!$B$5,SUBSTITUTE($M15,".pdf",""),IF($H$8="","",IF($F$8=list!$B$1,$H$8,IF($F$8=list!$B$2,$O15,IF($F$8=list!$B$3,$H$8&amp;$O15,IF($F$8=list!$B$4,$O15&amp;$H$8,""))))))</f>
        <v/>
      </c>
      <c r="R15" s="34"/>
      <c r="S15" s="34"/>
      <c r="T15" s="35"/>
      <c r="U15" s="36" t="str">
        <f t="shared" si="0"/>
        <v/>
      </c>
      <c r="V15" s="34"/>
      <c r="W15" s="34"/>
      <c r="X15" s="37"/>
      <c r="Y15" s="32"/>
      <c r="Z15" s="33"/>
      <c r="AA15" s="34" t="str">
        <f>IF($F$10=list!$B$5,SUBSTITUTE($M15,".pdf",""),IF($H$10="","",IF($F$10=list!$B$1,$H$10,IF($F$10=list!$B$2,$Y15,IF($F$10=list!$B$3,$H$10&amp;$Y15,IF($F$10=list!$B$4,$Y15&amp;$H$10,""))))))</f>
        <v/>
      </c>
      <c r="AB15" s="34"/>
      <c r="AC15" s="34"/>
      <c r="AD15" s="35"/>
      <c r="AE15" s="36" t="str">
        <f t="shared" si="1"/>
        <v/>
      </c>
      <c r="AF15" s="34"/>
      <c r="AG15" s="34"/>
      <c r="AH15" s="38"/>
      <c r="AI15" s="39" t="str">
        <f t="shared" si="2"/>
        <v/>
      </c>
      <c r="AJ15" s="40"/>
      <c r="AK15" s="39" t="str">
        <f t="shared" si="3"/>
        <v/>
      </c>
      <c r="AL15" s="41"/>
    </row>
    <row r="16" spans="1:38" ht="20.25" thickTop="1" x14ac:dyDescent="0.45">
      <c r="C16" s="5"/>
      <c r="D16" s="5"/>
      <c r="F16" s="5"/>
      <c r="G16" s="5"/>
      <c r="H16" s="4"/>
      <c r="I16" s="4"/>
      <c r="J16" s="4"/>
      <c r="K16" s="4"/>
      <c r="L16" s="11"/>
      <c r="M16" s="30"/>
      <c r="N16" s="31"/>
      <c r="O16" s="32"/>
      <c r="P16" s="33"/>
      <c r="Q16" s="34" t="str">
        <f>IF($F$8=list!$B$5,SUBSTITUTE($M16,".pdf",""),IF($H$8="","",IF($F$8=list!$B$1,$H$8,IF($F$8=list!$B$2,$O16,IF($F$8=list!$B$3,$H$8&amp;$O16,IF($F$8=list!$B$4,$O16&amp;$H$8,""))))))</f>
        <v/>
      </c>
      <c r="R16" s="34"/>
      <c r="S16" s="34"/>
      <c r="T16" s="35"/>
      <c r="U16" s="36" t="str">
        <f t="shared" si="0"/>
        <v/>
      </c>
      <c r="V16" s="34"/>
      <c r="W16" s="34"/>
      <c r="X16" s="37"/>
      <c r="Y16" s="32"/>
      <c r="Z16" s="33"/>
      <c r="AA16" s="34" t="str">
        <f>IF($F$10=list!$B$5,SUBSTITUTE($M16,".pdf",""),IF($H$10="","",IF($F$10=list!$B$1,$H$10,IF($F$10=list!$B$2,$Y16,IF($F$10=list!$B$3,$H$10&amp;$Y16,IF($F$10=list!$B$4,$Y16&amp;$H$10,""))))))</f>
        <v/>
      </c>
      <c r="AB16" s="34"/>
      <c r="AC16" s="34"/>
      <c r="AD16" s="35"/>
      <c r="AE16" s="36" t="str">
        <f t="shared" si="1"/>
        <v/>
      </c>
      <c r="AF16" s="34"/>
      <c r="AG16" s="34"/>
      <c r="AH16" s="38"/>
      <c r="AI16" s="39" t="str">
        <f t="shared" si="2"/>
        <v/>
      </c>
      <c r="AJ16" s="40"/>
      <c r="AK16" s="39" t="str">
        <f t="shared" si="3"/>
        <v/>
      </c>
      <c r="AL16" s="41"/>
    </row>
    <row r="17" spans="3:38" x14ac:dyDescent="0.45">
      <c r="C17" s="5"/>
      <c r="D17" s="5"/>
      <c r="F17" s="5"/>
      <c r="G17" s="5"/>
      <c r="H17" s="4"/>
      <c r="I17" s="4"/>
      <c r="J17" s="4"/>
      <c r="K17" s="4"/>
      <c r="L17" s="11"/>
      <c r="M17" s="30"/>
      <c r="N17" s="31"/>
      <c r="O17" s="32"/>
      <c r="P17" s="33"/>
      <c r="Q17" s="34" t="str">
        <f>IF($F$8=list!$B$5,SUBSTITUTE($M17,".pdf",""),IF($H$8="","",IF($F$8=list!$B$1,$H$8,IF($F$8=list!$B$2,$O17,IF($F$8=list!$B$3,$H$8&amp;$O17,IF($F$8=list!$B$4,$O17&amp;$H$8,""))))))</f>
        <v/>
      </c>
      <c r="R17" s="34"/>
      <c r="S17" s="34"/>
      <c r="T17" s="35"/>
      <c r="U17" s="36" t="str">
        <f t="shared" si="0"/>
        <v/>
      </c>
      <c r="V17" s="34"/>
      <c r="W17" s="34"/>
      <c r="X17" s="37"/>
      <c r="Y17" s="32"/>
      <c r="Z17" s="33"/>
      <c r="AA17" s="34" t="str">
        <f>IF($F$10=list!$B$5,SUBSTITUTE($M17,".pdf",""),IF($H$10="","",IF($F$10=list!$B$1,$H$10,IF($F$10=list!$B$2,$Y17,IF($F$10=list!$B$3,$H$10&amp;$Y17,IF($F$10=list!$B$4,$Y17&amp;$H$10,""))))))</f>
        <v/>
      </c>
      <c r="AB17" s="34"/>
      <c r="AC17" s="34"/>
      <c r="AD17" s="35"/>
      <c r="AE17" s="36" t="str">
        <f t="shared" si="1"/>
        <v/>
      </c>
      <c r="AF17" s="34"/>
      <c r="AG17" s="34"/>
      <c r="AH17" s="38"/>
      <c r="AI17" s="39" t="str">
        <f t="shared" si="2"/>
        <v/>
      </c>
      <c r="AJ17" s="40"/>
      <c r="AK17" s="39" t="str">
        <f t="shared" si="3"/>
        <v/>
      </c>
      <c r="AL17" s="41"/>
    </row>
    <row r="18" spans="3:38" x14ac:dyDescent="0.45">
      <c r="C18" s="5"/>
      <c r="D18" s="5"/>
      <c r="F18" s="5"/>
      <c r="G18" s="5"/>
      <c r="H18" s="4"/>
      <c r="I18" s="4"/>
      <c r="J18" s="4"/>
      <c r="K18" s="4"/>
      <c r="L18" s="11"/>
      <c r="M18" s="30"/>
      <c r="N18" s="31"/>
      <c r="O18" s="32"/>
      <c r="P18" s="33"/>
      <c r="Q18" s="34" t="str">
        <f>IF($F$8=list!$B$5,SUBSTITUTE($M18,".pdf",""),IF($H$8="","",IF($F$8=list!$B$1,$H$8,IF($F$8=list!$B$2,$O18,IF($F$8=list!$B$3,$H$8&amp;$O18,IF($F$8=list!$B$4,$O18&amp;$H$8,""))))))</f>
        <v/>
      </c>
      <c r="R18" s="34"/>
      <c r="S18" s="34"/>
      <c r="T18" s="35"/>
      <c r="U18" s="36" t="str">
        <f t="shared" si="0"/>
        <v/>
      </c>
      <c r="V18" s="34"/>
      <c r="W18" s="34"/>
      <c r="X18" s="37"/>
      <c r="Y18" s="32"/>
      <c r="Z18" s="33"/>
      <c r="AA18" s="34" t="str">
        <f>IF($F$10=list!$B$5,SUBSTITUTE($M18,".pdf",""),IF($H$10="","",IF($F$10=list!$B$1,$H$10,IF($F$10=list!$B$2,$Y18,IF($F$10=list!$B$3,$H$10&amp;$Y18,IF($F$10=list!$B$4,$Y18&amp;$H$10,""))))))</f>
        <v/>
      </c>
      <c r="AB18" s="34"/>
      <c r="AC18" s="34"/>
      <c r="AD18" s="35"/>
      <c r="AE18" s="36" t="str">
        <f t="shared" si="1"/>
        <v/>
      </c>
      <c r="AF18" s="34"/>
      <c r="AG18" s="34"/>
      <c r="AH18" s="38"/>
      <c r="AI18" s="39" t="str">
        <f t="shared" si="2"/>
        <v/>
      </c>
      <c r="AJ18" s="40"/>
      <c r="AK18" s="39" t="str">
        <f t="shared" si="3"/>
        <v/>
      </c>
      <c r="AL18" s="41"/>
    </row>
    <row r="19" spans="3:38" x14ac:dyDescent="0.45">
      <c r="L19" s="11"/>
      <c r="M19" s="30"/>
      <c r="N19" s="31"/>
      <c r="O19" s="32"/>
      <c r="P19" s="33"/>
      <c r="Q19" s="34" t="str">
        <f>IF($F$8=list!$B$5,SUBSTITUTE($M19,".pdf",""),IF($H$8="","",IF($F$8=list!$B$1,$H$8,IF($F$8=list!$B$2,$O19,IF($F$8=list!$B$3,$H$8&amp;$O19,IF($F$8=list!$B$4,$O19&amp;$H$8,""))))))</f>
        <v/>
      </c>
      <c r="R19" s="34"/>
      <c r="S19" s="34"/>
      <c r="T19" s="35"/>
      <c r="U19" s="36" t="str">
        <f t="shared" si="0"/>
        <v/>
      </c>
      <c r="V19" s="34"/>
      <c r="W19" s="34"/>
      <c r="X19" s="37"/>
      <c r="Y19" s="32"/>
      <c r="Z19" s="33"/>
      <c r="AA19" s="34" t="str">
        <f>IF($F$10=list!$B$5,SUBSTITUTE($M19,".pdf",""),IF($H$10="","",IF($F$10=list!$B$1,$H$10,IF($F$10=list!$B$2,$Y19,IF($F$10=list!$B$3,$H$10&amp;$Y19,IF($F$10=list!$B$4,$Y19&amp;$H$10,""))))))</f>
        <v/>
      </c>
      <c r="AB19" s="34"/>
      <c r="AC19" s="34"/>
      <c r="AD19" s="35"/>
      <c r="AE19" s="36" t="str">
        <f t="shared" si="1"/>
        <v/>
      </c>
      <c r="AF19" s="34"/>
      <c r="AG19" s="34"/>
      <c r="AH19" s="38"/>
      <c r="AI19" s="39" t="str">
        <f t="shared" si="2"/>
        <v/>
      </c>
      <c r="AJ19" s="40"/>
      <c r="AK19" s="39" t="str">
        <f t="shared" si="3"/>
        <v/>
      </c>
      <c r="AL19" s="41"/>
    </row>
    <row r="20" spans="3:38" x14ac:dyDescent="0.45">
      <c r="L20" s="11"/>
      <c r="M20" s="30"/>
      <c r="N20" s="31"/>
      <c r="O20" s="32"/>
      <c r="P20" s="33"/>
      <c r="Q20" s="34" t="str">
        <f>IF($F$8=list!$B$5,SUBSTITUTE($M20,".pdf",""),IF($H$8="","",IF($F$8=list!$B$1,$H$8,IF($F$8=list!$B$2,$O20,IF($F$8=list!$B$3,$H$8&amp;$O20,IF($F$8=list!$B$4,$O20&amp;$H$8,""))))))</f>
        <v/>
      </c>
      <c r="R20" s="34"/>
      <c r="S20" s="34"/>
      <c r="T20" s="35"/>
      <c r="U20" s="36" t="str">
        <f t="shared" si="0"/>
        <v/>
      </c>
      <c r="V20" s="34"/>
      <c r="W20" s="34"/>
      <c r="X20" s="37"/>
      <c r="Y20" s="32"/>
      <c r="Z20" s="33"/>
      <c r="AA20" s="34" t="str">
        <f>IF($F$10=list!$B$5,SUBSTITUTE($M20,".pdf",""),IF($H$10="","",IF($F$10=list!$B$1,$H$10,IF($F$10=list!$B$2,$Y20,IF($F$10=list!$B$3,$H$10&amp;$Y20,IF($F$10=list!$B$4,$Y20&amp;$H$10,""))))))</f>
        <v/>
      </c>
      <c r="AB20" s="34"/>
      <c r="AC20" s="34"/>
      <c r="AD20" s="35"/>
      <c r="AE20" s="36" t="str">
        <f t="shared" si="1"/>
        <v/>
      </c>
      <c r="AF20" s="34"/>
      <c r="AG20" s="34"/>
      <c r="AH20" s="38"/>
      <c r="AI20" s="39" t="str">
        <f t="shared" si="2"/>
        <v/>
      </c>
      <c r="AJ20" s="40"/>
      <c r="AK20" s="39" t="str">
        <f t="shared" si="3"/>
        <v/>
      </c>
      <c r="AL20" s="41"/>
    </row>
    <row r="21" spans="3:38" x14ac:dyDescent="0.45">
      <c r="F21" s="2"/>
      <c r="M21" s="30"/>
      <c r="N21" s="31"/>
      <c r="O21" s="32"/>
      <c r="P21" s="33"/>
      <c r="Q21" s="34" t="str">
        <f>IF($F$8=list!$B$5,SUBSTITUTE($M21,".pdf",""),IF($H$8="","",IF($F$8=list!$B$1,$H$8,IF($F$8=list!$B$2,$O21,IF($F$8=list!$B$3,$H$8&amp;$O21,IF($F$8=list!$B$4,$O21&amp;$H$8,""))))))</f>
        <v/>
      </c>
      <c r="R21" s="34"/>
      <c r="S21" s="34"/>
      <c r="T21" s="35"/>
      <c r="U21" s="36" t="str">
        <f t="shared" si="0"/>
        <v/>
      </c>
      <c r="V21" s="34"/>
      <c r="W21" s="34"/>
      <c r="X21" s="37"/>
      <c r="Y21" s="32"/>
      <c r="Z21" s="33"/>
      <c r="AA21" s="34" t="str">
        <f>IF($F$10=list!$B$5,SUBSTITUTE($M21,".pdf",""),IF($H$10="","",IF($F$10=list!$B$1,$H$10,IF($F$10=list!$B$2,$Y21,IF($F$10=list!$B$3,$H$10&amp;$Y21,IF($F$10=list!$B$4,$Y21&amp;$H$10,""))))))</f>
        <v/>
      </c>
      <c r="AB21" s="34"/>
      <c r="AC21" s="34"/>
      <c r="AD21" s="35"/>
      <c r="AE21" s="36" t="str">
        <f t="shared" si="1"/>
        <v/>
      </c>
      <c r="AF21" s="34"/>
      <c r="AG21" s="34"/>
      <c r="AH21" s="38"/>
      <c r="AI21" s="39" t="str">
        <f t="shared" si="2"/>
        <v/>
      </c>
      <c r="AJ21" s="40"/>
      <c r="AK21" s="39" t="str">
        <f t="shared" si="3"/>
        <v/>
      </c>
      <c r="AL21" s="41"/>
    </row>
    <row r="22" spans="3:38" x14ac:dyDescent="0.45">
      <c r="M22" s="30"/>
      <c r="N22" s="31"/>
      <c r="O22" s="32"/>
      <c r="P22" s="33"/>
      <c r="Q22" s="34" t="str">
        <f>IF($F$8=list!$B$5,SUBSTITUTE($M22,".pdf",""),IF($H$8="","",IF($F$8=list!$B$1,$H$8,IF($F$8=list!$B$2,$O22,IF($F$8=list!$B$3,$H$8&amp;$O22,IF($F$8=list!$B$4,$O22&amp;$H$8,""))))))</f>
        <v/>
      </c>
      <c r="R22" s="34"/>
      <c r="S22" s="34"/>
      <c r="T22" s="35"/>
      <c r="U22" s="36" t="str">
        <f t="shared" si="0"/>
        <v/>
      </c>
      <c r="V22" s="34"/>
      <c r="W22" s="34"/>
      <c r="X22" s="37"/>
      <c r="Y22" s="32"/>
      <c r="Z22" s="33"/>
      <c r="AA22" s="34" t="str">
        <f>IF($F$10=list!$B$5,SUBSTITUTE($M22,".pdf",""),IF($H$10="","",IF($F$10=list!$B$1,$H$10,IF($F$10=list!$B$2,$Y22,IF($F$10=list!$B$3,$H$10&amp;$Y22,IF($F$10=list!$B$4,$Y22&amp;$H$10,""))))))</f>
        <v/>
      </c>
      <c r="AB22" s="34"/>
      <c r="AC22" s="34"/>
      <c r="AD22" s="35"/>
      <c r="AE22" s="36" t="str">
        <f t="shared" si="1"/>
        <v/>
      </c>
      <c r="AF22" s="34"/>
      <c r="AG22" s="34"/>
      <c r="AH22" s="38"/>
      <c r="AI22" s="39" t="str">
        <f t="shared" si="2"/>
        <v/>
      </c>
      <c r="AJ22" s="40"/>
      <c r="AK22" s="39" t="str">
        <f t="shared" si="3"/>
        <v/>
      </c>
      <c r="AL22" s="41"/>
    </row>
    <row r="23" spans="3:38" x14ac:dyDescent="0.45">
      <c r="M23" s="30"/>
      <c r="N23" s="31"/>
      <c r="O23" s="32"/>
      <c r="P23" s="33"/>
      <c r="Q23" s="34" t="str">
        <f>IF($F$8=list!$B$5,SUBSTITUTE($M23,".pdf",""),IF($H$8="","",IF($F$8=list!$B$1,$H$8,IF($F$8=list!$B$2,$O23,IF($F$8=list!$B$3,$H$8&amp;$O23,IF($F$8=list!$B$4,$O23&amp;$H$8,""))))))</f>
        <v/>
      </c>
      <c r="R23" s="34"/>
      <c r="S23" s="34"/>
      <c r="T23" s="35"/>
      <c r="U23" s="36" t="str">
        <f t="shared" si="0"/>
        <v/>
      </c>
      <c r="V23" s="34"/>
      <c r="W23" s="34"/>
      <c r="X23" s="37"/>
      <c r="Y23" s="32"/>
      <c r="Z23" s="33"/>
      <c r="AA23" s="34" t="str">
        <f>IF($F$10=list!$B$5,SUBSTITUTE($M23,".pdf",""),IF($H$10="","",IF($F$10=list!$B$1,$H$10,IF($F$10=list!$B$2,$Y23,IF($F$10=list!$B$3,$H$10&amp;$Y23,IF($F$10=list!$B$4,$Y23&amp;$H$10,""))))))</f>
        <v/>
      </c>
      <c r="AB23" s="34"/>
      <c r="AC23" s="34"/>
      <c r="AD23" s="35"/>
      <c r="AE23" s="36" t="str">
        <f t="shared" si="1"/>
        <v/>
      </c>
      <c r="AF23" s="34"/>
      <c r="AG23" s="34"/>
      <c r="AH23" s="38"/>
      <c r="AI23" s="39" t="str">
        <f t="shared" si="2"/>
        <v/>
      </c>
      <c r="AJ23" s="40"/>
      <c r="AK23" s="39" t="str">
        <f t="shared" si="3"/>
        <v/>
      </c>
      <c r="AL23" s="41"/>
    </row>
    <row r="24" spans="3:38" x14ac:dyDescent="0.45">
      <c r="M24" s="30"/>
      <c r="N24" s="31"/>
      <c r="O24" s="32"/>
      <c r="P24" s="33"/>
      <c r="Q24" s="34" t="str">
        <f>IF($F$8=list!$B$5,SUBSTITUTE($M24,".pdf",""),IF($H$8="","",IF($F$8=list!$B$1,$H$8,IF($F$8=list!$B$2,$O24,IF($F$8=list!$B$3,$H$8&amp;$O24,IF($F$8=list!$B$4,$O24&amp;$H$8,""))))))</f>
        <v/>
      </c>
      <c r="R24" s="34"/>
      <c r="S24" s="34"/>
      <c r="T24" s="35"/>
      <c r="U24" s="36" t="str">
        <f t="shared" si="0"/>
        <v/>
      </c>
      <c r="V24" s="34"/>
      <c r="W24" s="34"/>
      <c r="X24" s="37"/>
      <c r="Y24" s="32"/>
      <c r="Z24" s="33"/>
      <c r="AA24" s="34" t="str">
        <f>IF($F$10=list!$B$5,SUBSTITUTE($M24,".pdf",""),IF($H$10="","",IF($F$10=list!$B$1,$H$10,IF($F$10=list!$B$2,$Y24,IF($F$10=list!$B$3,$H$10&amp;$Y24,IF($F$10=list!$B$4,$Y24&amp;$H$10,""))))))</f>
        <v/>
      </c>
      <c r="AB24" s="34"/>
      <c r="AC24" s="34"/>
      <c r="AD24" s="35"/>
      <c r="AE24" s="36" t="str">
        <f t="shared" si="1"/>
        <v/>
      </c>
      <c r="AF24" s="34"/>
      <c r="AG24" s="34"/>
      <c r="AH24" s="38"/>
      <c r="AI24" s="39" t="str">
        <f t="shared" si="2"/>
        <v/>
      </c>
      <c r="AJ24" s="40"/>
      <c r="AK24" s="39" t="str">
        <f t="shared" si="3"/>
        <v/>
      </c>
      <c r="AL24" s="41"/>
    </row>
    <row r="25" spans="3:38" x14ac:dyDescent="0.45">
      <c r="M25" s="30"/>
      <c r="N25" s="31"/>
      <c r="O25" s="32"/>
      <c r="P25" s="33"/>
      <c r="Q25" s="34" t="str">
        <f>IF($F$8=list!$B$5,SUBSTITUTE($M25,".pdf",""),IF($H$8="","",IF($F$8=list!$B$1,$H$8,IF($F$8=list!$B$2,$O25,IF($F$8=list!$B$3,$H$8&amp;$O25,IF($F$8=list!$B$4,$O25&amp;$H$8,""))))))</f>
        <v/>
      </c>
      <c r="R25" s="34"/>
      <c r="S25" s="34"/>
      <c r="T25" s="35"/>
      <c r="U25" s="36" t="str">
        <f t="shared" si="0"/>
        <v/>
      </c>
      <c r="V25" s="34"/>
      <c r="W25" s="34"/>
      <c r="X25" s="37"/>
      <c r="Y25" s="32"/>
      <c r="Z25" s="33"/>
      <c r="AA25" s="34" t="str">
        <f>IF($F$10=list!$B$5,SUBSTITUTE($M25,".pdf",""),IF($H$10="","",IF($F$10=list!$B$1,$H$10,IF($F$10=list!$B$2,$Y25,IF($F$10=list!$B$3,$H$10&amp;$Y25,IF($F$10=list!$B$4,$Y25&amp;$H$10,""))))))</f>
        <v/>
      </c>
      <c r="AB25" s="34"/>
      <c r="AC25" s="34"/>
      <c r="AD25" s="35"/>
      <c r="AE25" s="36" t="str">
        <f t="shared" si="1"/>
        <v/>
      </c>
      <c r="AF25" s="34"/>
      <c r="AG25" s="34"/>
      <c r="AH25" s="38"/>
      <c r="AI25" s="39" t="str">
        <f t="shared" si="2"/>
        <v/>
      </c>
      <c r="AJ25" s="40"/>
      <c r="AK25" s="39" t="str">
        <f t="shared" si="3"/>
        <v/>
      </c>
      <c r="AL25" s="41"/>
    </row>
    <row r="26" spans="3:38" x14ac:dyDescent="0.45">
      <c r="M26" s="30"/>
      <c r="N26" s="31"/>
      <c r="O26" s="32"/>
      <c r="P26" s="33"/>
      <c r="Q26" s="34" t="str">
        <f>IF($F$8=list!$B$5,SUBSTITUTE($M26,".pdf",""),IF($H$8="","",IF($F$8=list!$B$1,$H$8,IF($F$8=list!$B$2,$O26,IF($F$8=list!$B$3,$H$8&amp;$O26,IF($F$8=list!$B$4,$O26&amp;$H$8,""))))))</f>
        <v/>
      </c>
      <c r="R26" s="34"/>
      <c r="S26" s="34"/>
      <c r="T26" s="35"/>
      <c r="U26" s="36" t="str">
        <f t="shared" si="0"/>
        <v/>
      </c>
      <c r="V26" s="34"/>
      <c r="W26" s="34"/>
      <c r="X26" s="37"/>
      <c r="Y26" s="32"/>
      <c r="Z26" s="33"/>
      <c r="AA26" s="34" t="str">
        <f>IF($F$10=list!$B$5,SUBSTITUTE($M26,".pdf",""),IF($H$10="","",IF($F$10=list!$B$1,$H$10,IF($F$10=list!$B$2,$Y26,IF($F$10=list!$B$3,$H$10&amp;$Y26,IF($F$10=list!$B$4,$Y26&amp;$H$10,""))))))</f>
        <v/>
      </c>
      <c r="AB26" s="34"/>
      <c r="AC26" s="34"/>
      <c r="AD26" s="35"/>
      <c r="AE26" s="36" t="str">
        <f t="shared" si="1"/>
        <v/>
      </c>
      <c r="AF26" s="34"/>
      <c r="AG26" s="34"/>
      <c r="AH26" s="38"/>
      <c r="AI26" s="39" t="str">
        <f t="shared" si="2"/>
        <v/>
      </c>
      <c r="AJ26" s="40"/>
      <c r="AK26" s="39" t="str">
        <f t="shared" si="3"/>
        <v/>
      </c>
      <c r="AL26" s="41"/>
    </row>
    <row r="27" spans="3:38" x14ac:dyDescent="0.45">
      <c r="M27" s="30"/>
      <c r="N27" s="31"/>
      <c r="O27" s="32"/>
      <c r="P27" s="33"/>
      <c r="Q27" s="34" t="str">
        <f>IF($F$8=list!$B$5,SUBSTITUTE($M27,".pdf",""),IF($H$8="","",IF($F$8=list!$B$1,$H$8,IF($F$8=list!$B$2,$O27,IF($F$8=list!$B$3,$H$8&amp;$O27,IF($F$8=list!$B$4,$O27&amp;$H$8,""))))))</f>
        <v/>
      </c>
      <c r="R27" s="34"/>
      <c r="S27" s="34"/>
      <c r="T27" s="35"/>
      <c r="U27" s="36" t="str">
        <f t="shared" si="0"/>
        <v/>
      </c>
      <c r="V27" s="34"/>
      <c r="W27" s="34"/>
      <c r="X27" s="37"/>
      <c r="Y27" s="32"/>
      <c r="Z27" s="33"/>
      <c r="AA27" s="34" t="str">
        <f>IF($F$10=list!$B$5,SUBSTITUTE($M27,".pdf",""),IF($H$10="","",IF($F$10=list!$B$1,$H$10,IF($F$10=list!$B$2,$Y27,IF($F$10=list!$B$3,$H$10&amp;$Y27,IF($F$10=list!$B$4,$Y27&amp;$H$10,""))))))</f>
        <v/>
      </c>
      <c r="AB27" s="34"/>
      <c r="AC27" s="34"/>
      <c r="AD27" s="35"/>
      <c r="AE27" s="36" t="str">
        <f t="shared" si="1"/>
        <v/>
      </c>
      <c r="AF27" s="34"/>
      <c r="AG27" s="34"/>
      <c r="AH27" s="38"/>
      <c r="AI27" s="39" t="str">
        <f t="shared" si="2"/>
        <v/>
      </c>
      <c r="AJ27" s="40"/>
      <c r="AK27" s="39" t="str">
        <f t="shared" si="3"/>
        <v/>
      </c>
      <c r="AL27" s="41"/>
    </row>
    <row r="28" spans="3:38" x14ac:dyDescent="0.45">
      <c r="M28" s="30"/>
      <c r="N28" s="31"/>
      <c r="O28" s="32"/>
      <c r="P28" s="33"/>
      <c r="Q28" s="34" t="str">
        <f>IF($F$8=list!$B$5,SUBSTITUTE($M28,".pdf",""),IF($H$8="","",IF($F$8=list!$B$1,$H$8,IF($F$8=list!$B$2,$O28,IF($F$8=list!$B$3,$H$8&amp;$O28,IF($F$8=list!$B$4,$O28&amp;$H$8,""))))))</f>
        <v/>
      </c>
      <c r="R28" s="34"/>
      <c r="S28" s="34"/>
      <c r="T28" s="35"/>
      <c r="U28" s="36" t="str">
        <f t="shared" si="0"/>
        <v/>
      </c>
      <c r="V28" s="34"/>
      <c r="W28" s="34"/>
      <c r="X28" s="37"/>
      <c r="Y28" s="32"/>
      <c r="Z28" s="33"/>
      <c r="AA28" s="34" t="str">
        <f>IF($F$10=list!$B$5,SUBSTITUTE($M28,".pdf",""),IF($H$10="","",IF($F$10=list!$B$1,$H$10,IF($F$10=list!$B$2,$Y28,IF($F$10=list!$B$3,$H$10&amp;$Y28,IF($F$10=list!$B$4,$Y28&amp;$H$10,""))))))</f>
        <v/>
      </c>
      <c r="AB28" s="34"/>
      <c r="AC28" s="34"/>
      <c r="AD28" s="35"/>
      <c r="AE28" s="36" t="str">
        <f t="shared" si="1"/>
        <v/>
      </c>
      <c r="AF28" s="34"/>
      <c r="AG28" s="34"/>
      <c r="AH28" s="38"/>
      <c r="AI28" s="39" t="str">
        <f t="shared" si="2"/>
        <v/>
      </c>
      <c r="AJ28" s="40"/>
      <c r="AK28" s="39" t="str">
        <f t="shared" si="3"/>
        <v/>
      </c>
      <c r="AL28" s="41"/>
    </row>
    <row r="29" spans="3:38" x14ac:dyDescent="0.45">
      <c r="M29" s="30"/>
      <c r="N29" s="31"/>
      <c r="O29" s="32"/>
      <c r="P29" s="33"/>
      <c r="Q29" s="34" t="str">
        <f>IF($F$8=list!$B$5,SUBSTITUTE($M29,".pdf",""),IF($H$8="","",IF($F$8=list!$B$1,$H$8,IF($F$8=list!$B$2,$O29,IF($F$8=list!$B$3,$H$8&amp;$O29,IF($F$8=list!$B$4,$O29&amp;$H$8,""))))))</f>
        <v/>
      </c>
      <c r="R29" s="34"/>
      <c r="S29" s="34"/>
      <c r="T29" s="35"/>
      <c r="U29" s="36" t="str">
        <f t="shared" si="0"/>
        <v/>
      </c>
      <c r="V29" s="34"/>
      <c r="W29" s="34"/>
      <c r="X29" s="37"/>
      <c r="Y29" s="32"/>
      <c r="Z29" s="33"/>
      <c r="AA29" s="34" t="str">
        <f>IF($F$10=list!$B$5,SUBSTITUTE($M29,".pdf",""),IF($H$10="","",IF($F$10=list!$B$1,$H$10,IF($F$10=list!$B$2,$Y29,IF($F$10=list!$B$3,$H$10&amp;$Y29,IF($F$10=list!$B$4,$Y29&amp;$H$10,""))))))</f>
        <v/>
      </c>
      <c r="AB29" s="34"/>
      <c r="AC29" s="34"/>
      <c r="AD29" s="35"/>
      <c r="AE29" s="36" t="str">
        <f t="shared" si="1"/>
        <v/>
      </c>
      <c r="AF29" s="34"/>
      <c r="AG29" s="34"/>
      <c r="AH29" s="38"/>
      <c r="AI29" s="39" t="str">
        <f t="shared" si="2"/>
        <v/>
      </c>
      <c r="AJ29" s="40"/>
      <c r="AK29" s="39" t="str">
        <f t="shared" si="3"/>
        <v/>
      </c>
      <c r="AL29" s="41"/>
    </row>
    <row r="30" spans="3:38" x14ac:dyDescent="0.45">
      <c r="M30" s="30"/>
      <c r="N30" s="31"/>
      <c r="O30" s="32"/>
      <c r="P30" s="33"/>
      <c r="Q30" s="34" t="str">
        <f>IF($F$8=list!$B$5,SUBSTITUTE($M30,".pdf",""),IF($H$8="","",IF($F$8=list!$B$1,$H$8,IF($F$8=list!$B$2,$O30,IF($F$8=list!$B$3,$H$8&amp;$O30,IF($F$8=list!$B$4,$O30&amp;$H$8,""))))))</f>
        <v/>
      </c>
      <c r="R30" s="34"/>
      <c r="S30" s="34"/>
      <c r="T30" s="35"/>
      <c r="U30" s="36" t="str">
        <f t="shared" si="0"/>
        <v/>
      </c>
      <c r="V30" s="34"/>
      <c r="W30" s="34"/>
      <c r="X30" s="37"/>
      <c r="Y30" s="32"/>
      <c r="Z30" s="33"/>
      <c r="AA30" s="34" t="str">
        <f>IF($F$10=list!$B$5,SUBSTITUTE($M30,".pdf",""),IF($H$10="","",IF($F$10=list!$B$1,$H$10,IF($F$10=list!$B$2,$Y30,IF($F$10=list!$B$3,$H$10&amp;$Y30,IF($F$10=list!$B$4,$Y30&amp;$H$10,""))))))</f>
        <v/>
      </c>
      <c r="AB30" s="34"/>
      <c r="AC30" s="34"/>
      <c r="AD30" s="35"/>
      <c r="AE30" s="36" t="str">
        <f t="shared" si="1"/>
        <v/>
      </c>
      <c r="AF30" s="34"/>
      <c r="AG30" s="34"/>
      <c r="AH30" s="38"/>
      <c r="AI30" s="39" t="str">
        <f t="shared" si="2"/>
        <v/>
      </c>
      <c r="AJ30" s="40"/>
      <c r="AK30" s="39" t="str">
        <f t="shared" si="3"/>
        <v/>
      </c>
      <c r="AL30" s="41"/>
    </row>
    <row r="31" spans="3:38" x14ac:dyDescent="0.45">
      <c r="M31" s="30"/>
      <c r="N31" s="31"/>
      <c r="O31" s="32"/>
      <c r="P31" s="33"/>
      <c r="Q31" s="34" t="str">
        <f>IF($F$8=list!$B$5,SUBSTITUTE($M31,".pdf",""),IF($H$8="","",IF($F$8=list!$B$1,$H$8,IF($F$8=list!$B$2,$O31,IF($F$8=list!$B$3,$H$8&amp;$O31,IF($F$8=list!$B$4,$O31&amp;$H$8,""))))))</f>
        <v/>
      </c>
      <c r="R31" s="34"/>
      <c r="S31" s="34"/>
      <c r="T31" s="35"/>
      <c r="U31" s="36" t="str">
        <f t="shared" si="0"/>
        <v/>
      </c>
      <c r="V31" s="34"/>
      <c r="W31" s="34"/>
      <c r="X31" s="37"/>
      <c r="Y31" s="32"/>
      <c r="Z31" s="33"/>
      <c r="AA31" s="34" t="str">
        <f>IF($F$10=list!$B$5,SUBSTITUTE($M31,".pdf",""),IF($H$10="","",IF($F$10=list!$B$1,$H$10,IF($F$10=list!$B$2,$Y31,IF($F$10=list!$B$3,$H$10&amp;$Y31,IF($F$10=list!$B$4,$Y31&amp;$H$10,""))))))</f>
        <v/>
      </c>
      <c r="AB31" s="34"/>
      <c r="AC31" s="34"/>
      <c r="AD31" s="35"/>
      <c r="AE31" s="36" t="str">
        <f t="shared" si="1"/>
        <v/>
      </c>
      <c r="AF31" s="34"/>
      <c r="AG31" s="34"/>
      <c r="AH31" s="38"/>
      <c r="AI31" s="39" t="str">
        <f t="shared" si="2"/>
        <v/>
      </c>
      <c r="AJ31" s="40"/>
      <c r="AK31" s="39" t="str">
        <f t="shared" si="3"/>
        <v/>
      </c>
      <c r="AL31" s="41"/>
    </row>
    <row r="32" spans="3:38" x14ac:dyDescent="0.45">
      <c r="M32" s="30"/>
      <c r="N32" s="31"/>
      <c r="O32" s="32"/>
      <c r="P32" s="33"/>
      <c r="Q32" s="34" t="str">
        <f>IF($F$8=list!$B$5,SUBSTITUTE($M32,".pdf",""),IF($H$8="","",IF($F$8=list!$B$1,$H$8,IF($F$8=list!$B$2,$O32,IF($F$8=list!$B$3,$H$8&amp;$O32,IF($F$8=list!$B$4,$O32&amp;$H$8,""))))))</f>
        <v/>
      </c>
      <c r="R32" s="34"/>
      <c r="S32" s="34"/>
      <c r="T32" s="35"/>
      <c r="U32" s="36" t="str">
        <f t="shared" si="0"/>
        <v/>
      </c>
      <c r="V32" s="34"/>
      <c r="W32" s="34"/>
      <c r="X32" s="37"/>
      <c r="Y32" s="32"/>
      <c r="Z32" s="33"/>
      <c r="AA32" s="34" t="str">
        <f>IF($F$10=list!$B$5,SUBSTITUTE($M32,".pdf",""),IF($H$10="","",IF($F$10=list!$B$1,$H$10,IF($F$10=list!$B$2,$Y32,IF($F$10=list!$B$3,$H$10&amp;$Y32,IF($F$10=list!$B$4,$Y32&amp;$H$10,""))))))</f>
        <v/>
      </c>
      <c r="AB32" s="34"/>
      <c r="AC32" s="34"/>
      <c r="AD32" s="35"/>
      <c r="AE32" s="36" t="str">
        <f t="shared" si="1"/>
        <v/>
      </c>
      <c r="AF32" s="34"/>
      <c r="AG32" s="34"/>
      <c r="AH32" s="38"/>
      <c r="AI32" s="39" t="str">
        <f t="shared" si="2"/>
        <v/>
      </c>
      <c r="AJ32" s="40"/>
      <c r="AK32" s="39" t="str">
        <f t="shared" si="3"/>
        <v/>
      </c>
      <c r="AL32" s="41"/>
    </row>
    <row r="33" spans="13:38" x14ac:dyDescent="0.45">
      <c r="M33" s="30"/>
      <c r="N33" s="31"/>
      <c r="O33" s="32"/>
      <c r="P33" s="33"/>
      <c r="Q33" s="34" t="str">
        <f>IF($F$8=list!$B$5,SUBSTITUTE($M33,".pdf",""),IF($H$8="","",IF($F$8=list!$B$1,$H$8,IF($F$8=list!$B$2,$O33,IF($F$8=list!$B$3,$H$8&amp;$O33,IF($F$8=list!$B$4,$O33&amp;$H$8,""))))))</f>
        <v/>
      </c>
      <c r="R33" s="34"/>
      <c r="S33" s="34"/>
      <c r="T33" s="35"/>
      <c r="U33" s="36" t="str">
        <f t="shared" si="0"/>
        <v/>
      </c>
      <c r="V33" s="34"/>
      <c r="W33" s="34"/>
      <c r="X33" s="37"/>
      <c r="Y33" s="32"/>
      <c r="Z33" s="33"/>
      <c r="AA33" s="34" t="str">
        <f>IF($F$10=list!$B$5,SUBSTITUTE($M33,".pdf",""),IF($H$10="","",IF($F$10=list!$B$1,$H$10,IF($F$10=list!$B$2,$Y33,IF($F$10=list!$B$3,$H$10&amp;$Y33,IF($F$10=list!$B$4,$Y33&amp;$H$10,""))))))</f>
        <v/>
      </c>
      <c r="AB33" s="34"/>
      <c r="AC33" s="34"/>
      <c r="AD33" s="35"/>
      <c r="AE33" s="36" t="str">
        <f t="shared" si="1"/>
        <v/>
      </c>
      <c r="AF33" s="34"/>
      <c r="AG33" s="34"/>
      <c r="AH33" s="38"/>
      <c r="AI33" s="39" t="str">
        <f t="shared" si="2"/>
        <v/>
      </c>
      <c r="AJ33" s="40"/>
      <c r="AK33" s="39" t="str">
        <f t="shared" si="3"/>
        <v/>
      </c>
      <c r="AL33" s="41"/>
    </row>
    <row r="34" spans="13:38" x14ac:dyDescent="0.45">
      <c r="M34" s="30"/>
      <c r="N34" s="31"/>
      <c r="O34" s="32"/>
      <c r="P34" s="33"/>
      <c r="Q34" s="34" t="str">
        <f>IF($F$8=list!$B$5,SUBSTITUTE($M34,".pdf",""),IF($H$8="","",IF($F$8=list!$B$1,$H$8,IF($F$8=list!$B$2,$O34,IF($F$8=list!$B$3,$H$8&amp;$O34,IF($F$8=list!$B$4,$O34&amp;$H$8,""))))))</f>
        <v/>
      </c>
      <c r="R34" s="34"/>
      <c r="S34" s="34"/>
      <c r="T34" s="35"/>
      <c r="U34" s="36" t="str">
        <f t="shared" si="0"/>
        <v/>
      </c>
      <c r="V34" s="34"/>
      <c r="W34" s="34"/>
      <c r="X34" s="37"/>
      <c r="Y34" s="32"/>
      <c r="Z34" s="33"/>
      <c r="AA34" s="34" t="str">
        <f>IF($F$10=list!$B$5,SUBSTITUTE($M34,".pdf",""),IF($H$10="","",IF($F$10=list!$B$1,$H$10,IF($F$10=list!$B$2,$Y34,IF($F$10=list!$B$3,$H$10&amp;$Y34,IF($F$10=list!$B$4,$Y34&amp;$H$10,""))))))</f>
        <v/>
      </c>
      <c r="AB34" s="34"/>
      <c r="AC34" s="34"/>
      <c r="AD34" s="35"/>
      <c r="AE34" s="36" t="str">
        <f t="shared" si="1"/>
        <v/>
      </c>
      <c r="AF34" s="34"/>
      <c r="AG34" s="34"/>
      <c r="AH34" s="38"/>
      <c r="AI34" s="39" t="str">
        <f t="shared" si="2"/>
        <v/>
      </c>
      <c r="AJ34" s="40"/>
      <c r="AK34" s="39" t="str">
        <f t="shared" si="3"/>
        <v/>
      </c>
      <c r="AL34" s="41"/>
    </row>
    <row r="35" spans="13:38" x14ac:dyDescent="0.45">
      <c r="M35" s="30"/>
      <c r="N35" s="31"/>
      <c r="O35" s="32"/>
      <c r="P35" s="33"/>
      <c r="Q35" s="34" t="str">
        <f>IF($F$8=list!$B$5,SUBSTITUTE($M35,".pdf",""),IF($H$8="","",IF($F$8=list!$B$1,$H$8,IF($F$8=list!$B$2,$O35,IF($F$8=list!$B$3,$H$8&amp;$O35,IF($F$8=list!$B$4,$O35&amp;$H$8,""))))))</f>
        <v/>
      </c>
      <c r="R35" s="34"/>
      <c r="S35" s="34"/>
      <c r="T35" s="35"/>
      <c r="U35" s="36" t="str">
        <f t="shared" si="0"/>
        <v/>
      </c>
      <c r="V35" s="34"/>
      <c r="W35" s="34"/>
      <c r="X35" s="37"/>
      <c r="Y35" s="32"/>
      <c r="Z35" s="33"/>
      <c r="AA35" s="34" t="str">
        <f>IF($F$10=list!$B$5,SUBSTITUTE($M35,".pdf",""),IF($H$10="","",IF($F$10=list!$B$1,$H$10,IF($F$10=list!$B$2,$Y35,IF($F$10=list!$B$3,$H$10&amp;$Y35,IF($F$10=list!$B$4,$Y35&amp;$H$10,""))))))</f>
        <v/>
      </c>
      <c r="AB35" s="34"/>
      <c r="AC35" s="34"/>
      <c r="AD35" s="35"/>
      <c r="AE35" s="36" t="str">
        <f t="shared" si="1"/>
        <v/>
      </c>
      <c r="AF35" s="34"/>
      <c r="AG35" s="34"/>
      <c r="AH35" s="38"/>
      <c r="AI35" s="39" t="str">
        <f t="shared" si="2"/>
        <v/>
      </c>
      <c r="AJ35" s="40"/>
      <c r="AK35" s="39" t="str">
        <f t="shared" si="3"/>
        <v/>
      </c>
      <c r="AL35" s="41"/>
    </row>
    <row r="36" spans="13:38" x14ac:dyDescent="0.45">
      <c r="M36" s="30"/>
      <c r="N36" s="31"/>
      <c r="O36" s="32"/>
      <c r="P36" s="33"/>
      <c r="Q36" s="34" t="str">
        <f>IF($F$8=list!$B$5,SUBSTITUTE($M36,".pdf",""),IF($H$8="","",IF($F$8=list!$B$1,$H$8,IF($F$8=list!$B$2,$O36,IF($F$8=list!$B$3,$H$8&amp;$O36,IF($F$8=list!$B$4,$O36&amp;$H$8,""))))))</f>
        <v/>
      </c>
      <c r="R36" s="34"/>
      <c r="S36" s="34"/>
      <c r="T36" s="35"/>
      <c r="U36" s="36" t="str">
        <f t="shared" si="0"/>
        <v/>
      </c>
      <c r="V36" s="34"/>
      <c r="W36" s="34"/>
      <c r="X36" s="37"/>
      <c r="Y36" s="32"/>
      <c r="Z36" s="33"/>
      <c r="AA36" s="34" t="str">
        <f>IF($F$10=list!$B$5,SUBSTITUTE($M36,".pdf",""),IF($H$10="","",IF($F$10=list!$B$1,$H$10,IF($F$10=list!$B$2,$Y36,IF($F$10=list!$B$3,$H$10&amp;$Y36,IF($F$10=list!$B$4,$Y36&amp;$H$10,""))))))</f>
        <v/>
      </c>
      <c r="AB36" s="34"/>
      <c r="AC36" s="34"/>
      <c r="AD36" s="35"/>
      <c r="AE36" s="36" t="str">
        <f t="shared" si="1"/>
        <v/>
      </c>
      <c r="AF36" s="34"/>
      <c r="AG36" s="34"/>
      <c r="AH36" s="38"/>
      <c r="AI36" s="39" t="str">
        <f t="shared" si="2"/>
        <v/>
      </c>
      <c r="AJ36" s="40"/>
      <c r="AK36" s="39" t="str">
        <f t="shared" si="3"/>
        <v/>
      </c>
      <c r="AL36" s="41"/>
    </row>
    <row r="37" spans="13:38" x14ac:dyDescent="0.45">
      <c r="M37" s="30"/>
      <c r="N37" s="31"/>
      <c r="O37" s="32"/>
      <c r="P37" s="33"/>
      <c r="Q37" s="34" t="str">
        <f>IF($F$8=list!$B$5,SUBSTITUTE($M37,".pdf",""),IF($H$8="","",IF($F$8=list!$B$1,$H$8,IF($F$8=list!$B$2,$O37,IF($F$8=list!$B$3,$H$8&amp;$O37,IF($F$8=list!$B$4,$O37&amp;$H$8,""))))))</f>
        <v/>
      </c>
      <c r="R37" s="34"/>
      <c r="S37" s="34"/>
      <c r="T37" s="35"/>
      <c r="U37" s="36" t="str">
        <f t="shared" si="0"/>
        <v/>
      </c>
      <c r="V37" s="34"/>
      <c r="W37" s="34"/>
      <c r="X37" s="37"/>
      <c r="Y37" s="32"/>
      <c r="Z37" s="33"/>
      <c r="AA37" s="34" t="str">
        <f>IF($F$10=list!$B$5,SUBSTITUTE($M37,".pdf",""),IF($H$10="","",IF($F$10=list!$B$1,$H$10,IF($F$10=list!$B$2,$Y37,IF($F$10=list!$B$3,$H$10&amp;$Y37,IF($F$10=list!$B$4,$Y37&amp;$H$10,""))))))</f>
        <v/>
      </c>
      <c r="AB37" s="34"/>
      <c r="AC37" s="34"/>
      <c r="AD37" s="35"/>
      <c r="AE37" s="36" t="str">
        <f t="shared" si="1"/>
        <v/>
      </c>
      <c r="AF37" s="34"/>
      <c r="AG37" s="34"/>
      <c r="AH37" s="38"/>
      <c r="AI37" s="39" t="str">
        <f t="shared" si="2"/>
        <v/>
      </c>
      <c r="AJ37" s="40"/>
      <c r="AK37" s="39" t="str">
        <f t="shared" si="3"/>
        <v/>
      </c>
      <c r="AL37" s="41"/>
    </row>
    <row r="38" spans="13:38" x14ac:dyDescent="0.45">
      <c r="M38" s="30"/>
      <c r="N38" s="31"/>
      <c r="O38" s="32"/>
      <c r="P38" s="33"/>
      <c r="Q38" s="34" t="str">
        <f>IF($F$8=list!$B$5,SUBSTITUTE($M38,".pdf",""),IF($H$8="","",IF($F$8=list!$B$1,$H$8,IF($F$8=list!$B$2,$O38,IF($F$8=list!$B$3,$H$8&amp;$O38,IF($F$8=list!$B$4,$O38&amp;$H$8,""))))))</f>
        <v/>
      </c>
      <c r="R38" s="34"/>
      <c r="S38" s="34"/>
      <c r="T38" s="35"/>
      <c r="U38" s="36" t="str">
        <f t="shared" si="0"/>
        <v/>
      </c>
      <c r="V38" s="34"/>
      <c r="W38" s="34"/>
      <c r="X38" s="37"/>
      <c r="Y38" s="32"/>
      <c r="Z38" s="33"/>
      <c r="AA38" s="34" t="str">
        <f>IF($F$10=list!$B$5,SUBSTITUTE($M38,".pdf",""),IF($H$10="","",IF($F$10=list!$B$1,$H$10,IF($F$10=list!$B$2,$Y38,IF($F$10=list!$B$3,$H$10&amp;$Y38,IF($F$10=list!$B$4,$Y38&amp;$H$10,""))))))</f>
        <v/>
      </c>
      <c r="AB38" s="34"/>
      <c r="AC38" s="34"/>
      <c r="AD38" s="35"/>
      <c r="AE38" s="36" t="str">
        <f t="shared" si="1"/>
        <v/>
      </c>
      <c r="AF38" s="34"/>
      <c r="AG38" s="34"/>
      <c r="AH38" s="38"/>
      <c r="AI38" s="39" t="str">
        <f t="shared" si="2"/>
        <v/>
      </c>
      <c r="AJ38" s="40"/>
      <c r="AK38" s="39" t="str">
        <f t="shared" si="3"/>
        <v/>
      </c>
      <c r="AL38" s="41"/>
    </row>
    <row r="39" spans="13:38" x14ac:dyDescent="0.45">
      <c r="M39" s="30"/>
      <c r="N39" s="31"/>
      <c r="O39" s="32"/>
      <c r="P39" s="33"/>
      <c r="Q39" s="34" t="str">
        <f>IF($F$8=list!$B$5,SUBSTITUTE($M39,".pdf",""),IF($H$8="","",IF($F$8=list!$B$1,$H$8,IF($F$8=list!$B$2,$O39,IF($F$8=list!$B$3,$H$8&amp;$O39,IF($F$8=list!$B$4,$O39&amp;$H$8,""))))))</f>
        <v/>
      </c>
      <c r="R39" s="34"/>
      <c r="S39" s="34"/>
      <c r="T39" s="35"/>
      <c r="U39" s="36" t="str">
        <f t="shared" si="0"/>
        <v/>
      </c>
      <c r="V39" s="34"/>
      <c r="W39" s="34"/>
      <c r="X39" s="37"/>
      <c r="Y39" s="32"/>
      <c r="Z39" s="33"/>
      <c r="AA39" s="34" t="str">
        <f>IF($F$10=list!$B$5,SUBSTITUTE($M39,".pdf",""),IF($H$10="","",IF($F$10=list!$B$1,$H$10,IF($F$10=list!$B$2,$Y39,IF($F$10=list!$B$3,$H$10&amp;$Y39,IF($F$10=list!$B$4,$Y39&amp;$H$10,""))))))</f>
        <v/>
      </c>
      <c r="AB39" s="34"/>
      <c r="AC39" s="34"/>
      <c r="AD39" s="35"/>
      <c r="AE39" s="36" t="str">
        <f t="shared" si="1"/>
        <v/>
      </c>
      <c r="AF39" s="34"/>
      <c r="AG39" s="34"/>
      <c r="AH39" s="38"/>
      <c r="AI39" s="39" t="str">
        <f t="shared" si="2"/>
        <v/>
      </c>
      <c r="AJ39" s="40"/>
      <c r="AK39" s="39" t="str">
        <f t="shared" si="3"/>
        <v/>
      </c>
      <c r="AL39" s="41"/>
    </row>
    <row r="40" spans="13:38" x14ac:dyDescent="0.45">
      <c r="M40" s="30"/>
      <c r="N40" s="31"/>
      <c r="O40" s="32"/>
      <c r="P40" s="33"/>
      <c r="Q40" s="34" t="str">
        <f>IF($F$8=list!$B$5,SUBSTITUTE($M40,".pdf",""),IF($H$8="","",IF($F$8=list!$B$1,$H$8,IF($F$8=list!$B$2,$O40,IF($F$8=list!$B$3,$H$8&amp;$O40,IF($F$8=list!$B$4,$O40&amp;$H$8,""))))))</f>
        <v/>
      </c>
      <c r="R40" s="34"/>
      <c r="S40" s="34"/>
      <c r="T40" s="35"/>
      <c r="U40" s="36" t="str">
        <f t="shared" si="0"/>
        <v/>
      </c>
      <c r="V40" s="34"/>
      <c r="W40" s="34"/>
      <c r="X40" s="37"/>
      <c r="Y40" s="32"/>
      <c r="Z40" s="33"/>
      <c r="AA40" s="34" t="str">
        <f>IF($F$10=list!$B$5,SUBSTITUTE($M40,".pdf",""),IF($H$10="","",IF($F$10=list!$B$1,$H$10,IF($F$10=list!$B$2,$Y40,IF($F$10=list!$B$3,$H$10&amp;$Y40,IF($F$10=list!$B$4,$Y40&amp;$H$10,""))))))</f>
        <v/>
      </c>
      <c r="AB40" s="34"/>
      <c r="AC40" s="34"/>
      <c r="AD40" s="35"/>
      <c r="AE40" s="36" t="str">
        <f t="shared" si="1"/>
        <v/>
      </c>
      <c r="AF40" s="34"/>
      <c r="AG40" s="34"/>
      <c r="AH40" s="38"/>
      <c r="AI40" s="39" t="str">
        <f t="shared" si="2"/>
        <v/>
      </c>
      <c r="AJ40" s="40"/>
      <c r="AK40" s="39" t="str">
        <f t="shared" si="3"/>
        <v/>
      </c>
      <c r="AL40" s="41"/>
    </row>
    <row r="41" spans="13:38" x14ac:dyDescent="0.45">
      <c r="M41" s="30"/>
      <c r="N41" s="31"/>
      <c r="O41" s="32"/>
      <c r="P41" s="33"/>
      <c r="Q41" s="34" t="str">
        <f>IF($F$8=list!$B$5,SUBSTITUTE($M41,".pdf",""),IF($H$8="","",IF($F$8=list!$B$1,$H$8,IF($F$8=list!$B$2,$O41,IF($F$8=list!$B$3,$H$8&amp;$O41,IF($F$8=list!$B$4,$O41&amp;$H$8,""))))))</f>
        <v/>
      </c>
      <c r="R41" s="34"/>
      <c r="S41" s="34"/>
      <c r="T41" s="35"/>
      <c r="U41" s="36" t="str">
        <f t="shared" si="0"/>
        <v/>
      </c>
      <c r="V41" s="34"/>
      <c r="W41" s="34"/>
      <c r="X41" s="37"/>
      <c r="Y41" s="32"/>
      <c r="Z41" s="33"/>
      <c r="AA41" s="34" t="str">
        <f>IF($F$10=list!$B$5,SUBSTITUTE($M41,".pdf",""),IF($H$10="","",IF($F$10=list!$B$1,$H$10,IF($F$10=list!$B$2,$Y41,IF($F$10=list!$B$3,$H$10&amp;$Y41,IF($F$10=list!$B$4,$Y41&amp;$H$10,""))))))</f>
        <v/>
      </c>
      <c r="AB41" s="34"/>
      <c r="AC41" s="34"/>
      <c r="AD41" s="35"/>
      <c r="AE41" s="36" t="str">
        <f t="shared" si="1"/>
        <v/>
      </c>
      <c r="AF41" s="34"/>
      <c r="AG41" s="34"/>
      <c r="AH41" s="38"/>
      <c r="AI41" s="39" t="str">
        <f t="shared" si="2"/>
        <v/>
      </c>
      <c r="AJ41" s="40"/>
      <c r="AK41" s="39" t="str">
        <f t="shared" si="3"/>
        <v/>
      </c>
      <c r="AL41" s="41"/>
    </row>
    <row r="42" spans="13:38" x14ac:dyDescent="0.45">
      <c r="M42" s="30"/>
      <c r="N42" s="31"/>
      <c r="O42" s="32"/>
      <c r="P42" s="33"/>
      <c r="Q42" s="34" t="str">
        <f>IF($F$8=list!$B$5,SUBSTITUTE($M42,".pdf",""),IF($H$8="","",IF($F$8=list!$B$1,$H$8,IF($F$8=list!$B$2,$O42,IF($F$8=list!$B$3,$H$8&amp;$O42,IF($F$8=list!$B$4,$O42&amp;$H$8,""))))))</f>
        <v/>
      </c>
      <c r="R42" s="34"/>
      <c r="S42" s="34"/>
      <c r="T42" s="35"/>
      <c r="U42" s="36" t="str">
        <f t="shared" si="0"/>
        <v/>
      </c>
      <c r="V42" s="34"/>
      <c r="W42" s="34"/>
      <c r="X42" s="37"/>
      <c r="Y42" s="32"/>
      <c r="Z42" s="33"/>
      <c r="AA42" s="34" t="str">
        <f>IF($F$10=list!$B$5,SUBSTITUTE($M42,".pdf",""),IF($H$10="","",IF($F$10=list!$B$1,$H$10,IF($F$10=list!$B$2,$Y42,IF($F$10=list!$B$3,$H$10&amp;$Y42,IF($F$10=list!$B$4,$Y42&amp;$H$10,""))))))</f>
        <v/>
      </c>
      <c r="AB42" s="34"/>
      <c r="AC42" s="34"/>
      <c r="AD42" s="35"/>
      <c r="AE42" s="36" t="str">
        <f t="shared" si="1"/>
        <v/>
      </c>
      <c r="AF42" s="34"/>
      <c r="AG42" s="34"/>
      <c r="AH42" s="38"/>
      <c r="AI42" s="39" t="str">
        <f t="shared" si="2"/>
        <v/>
      </c>
      <c r="AJ42" s="40"/>
      <c r="AK42" s="39" t="str">
        <f t="shared" si="3"/>
        <v/>
      </c>
      <c r="AL42" s="41"/>
    </row>
    <row r="43" spans="13:38" x14ac:dyDescent="0.45">
      <c r="M43" s="30"/>
      <c r="N43" s="31"/>
      <c r="O43" s="32"/>
      <c r="P43" s="33"/>
      <c r="Q43" s="34" t="str">
        <f>IF($F$8=list!$B$5,SUBSTITUTE($M43,".pdf",""),IF($H$8="","",IF($F$8=list!$B$1,$H$8,IF($F$8=list!$B$2,$O43,IF($F$8=list!$B$3,$H$8&amp;$O43,IF($F$8=list!$B$4,$O43&amp;$H$8,""))))))</f>
        <v/>
      </c>
      <c r="R43" s="34"/>
      <c r="S43" s="34"/>
      <c r="T43" s="35"/>
      <c r="U43" s="36" t="str">
        <f t="shared" si="0"/>
        <v/>
      </c>
      <c r="V43" s="34"/>
      <c r="W43" s="34"/>
      <c r="X43" s="37"/>
      <c r="Y43" s="32"/>
      <c r="Z43" s="33"/>
      <c r="AA43" s="34" t="str">
        <f>IF($F$10=list!$B$5,SUBSTITUTE($M43,".pdf",""),IF($H$10="","",IF($F$10=list!$B$1,$H$10,IF($F$10=list!$B$2,$Y43,IF($F$10=list!$B$3,$H$10&amp;$Y43,IF($F$10=list!$B$4,$Y43&amp;$H$10,""))))))</f>
        <v/>
      </c>
      <c r="AB43" s="34"/>
      <c r="AC43" s="34"/>
      <c r="AD43" s="35"/>
      <c r="AE43" s="36" t="str">
        <f t="shared" si="1"/>
        <v/>
      </c>
      <c r="AF43" s="34"/>
      <c r="AG43" s="34"/>
      <c r="AH43" s="38"/>
      <c r="AI43" s="39" t="str">
        <f t="shared" si="2"/>
        <v/>
      </c>
      <c r="AJ43" s="40"/>
      <c r="AK43" s="39" t="str">
        <f t="shared" si="3"/>
        <v/>
      </c>
      <c r="AL43" s="41"/>
    </row>
    <row r="44" spans="13:38" x14ac:dyDescent="0.45">
      <c r="M44" s="30"/>
      <c r="N44" s="31"/>
      <c r="O44" s="32"/>
      <c r="P44" s="33"/>
      <c r="Q44" s="34" t="str">
        <f>IF($F$8=list!$B$5,SUBSTITUTE($M44,".pdf",""),IF($H$8="","",IF($F$8=list!$B$1,$H$8,IF($F$8=list!$B$2,$O44,IF($F$8=list!$B$3,$H$8&amp;$O44,IF($F$8=list!$B$4,$O44&amp;$H$8,""))))))</f>
        <v/>
      </c>
      <c r="R44" s="34"/>
      <c r="S44" s="34"/>
      <c r="T44" s="35"/>
      <c r="U44" s="36" t="str">
        <f t="shared" si="0"/>
        <v/>
      </c>
      <c r="V44" s="34"/>
      <c r="W44" s="34"/>
      <c r="X44" s="37"/>
      <c r="Y44" s="32"/>
      <c r="Z44" s="33"/>
      <c r="AA44" s="34" t="str">
        <f>IF($F$10=list!$B$5,SUBSTITUTE($M44,".pdf",""),IF($H$10="","",IF($F$10=list!$B$1,$H$10,IF($F$10=list!$B$2,$Y44,IF($F$10=list!$B$3,$H$10&amp;$Y44,IF($F$10=list!$B$4,$Y44&amp;$H$10,""))))))</f>
        <v/>
      </c>
      <c r="AB44" s="34"/>
      <c r="AC44" s="34"/>
      <c r="AD44" s="35"/>
      <c r="AE44" s="36" t="str">
        <f t="shared" si="1"/>
        <v/>
      </c>
      <c r="AF44" s="34"/>
      <c r="AG44" s="34"/>
      <c r="AH44" s="38"/>
      <c r="AI44" s="39" t="str">
        <f t="shared" si="2"/>
        <v/>
      </c>
      <c r="AJ44" s="40"/>
      <c r="AK44" s="39" t="str">
        <f t="shared" si="3"/>
        <v/>
      </c>
      <c r="AL44" s="41"/>
    </row>
    <row r="45" spans="13:38" x14ac:dyDescent="0.45">
      <c r="M45" s="30"/>
      <c r="N45" s="31"/>
      <c r="O45" s="32"/>
      <c r="P45" s="33"/>
      <c r="Q45" s="34" t="str">
        <f>IF($F$8=list!$B$5,SUBSTITUTE($M45,".pdf",""),IF($H$8="","",IF($F$8=list!$B$1,$H$8,IF($F$8=list!$B$2,$O45,IF($F$8=list!$B$3,$H$8&amp;$O45,IF($F$8=list!$B$4,$O45&amp;$H$8,""))))))</f>
        <v/>
      </c>
      <c r="R45" s="34"/>
      <c r="S45" s="34"/>
      <c r="T45" s="35"/>
      <c r="U45" s="36" t="str">
        <f t="shared" si="0"/>
        <v/>
      </c>
      <c r="V45" s="34"/>
      <c r="W45" s="34"/>
      <c r="X45" s="37"/>
      <c r="Y45" s="32"/>
      <c r="Z45" s="33"/>
      <c r="AA45" s="34" t="str">
        <f>IF($F$10=list!$B$5,SUBSTITUTE($M45,".pdf",""),IF($H$10="","",IF($F$10=list!$B$1,$H$10,IF($F$10=list!$B$2,$Y45,IF($F$10=list!$B$3,$H$10&amp;$Y45,IF($F$10=list!$B$4,$Y45&amp;$H$10,""))))))</f>
        <v/>
      </c>
      <c r="AB45" s="34"/>
      <c r="AC45" s="34"/>
      <c r="AD45" s="35"/>
      <c r="AE45" s="36" t="str">
        <f t="shared" si="1"/>
        <v/>
      </c>
      <c r="AF45" s="34"/>
      <c r="AG45" s="34"/>
      <c r="AH45" s="38"/>
      <c r="AI45" s="39" t="str">
        <f t="shared" si="2"/>
        <v/>
      </c>
      <c r="AJ45" s="40"/>
      <c r="AK45" s="39" t="str">
        <f t="shared" si="3"/>
        <v/>
      </c>
      <c r="AL45" s="41"/>
    </row>
    <row r="46" spans="13:38" x14ac:dyDescent="0.45">
      <c r="M46" s="30"/>
      <c r="N46" s="31"/>
      <c r="O46" s="32"/>
      <c r="P46" s="33"/>
      <c r="Q46" s="34" t="str">
        <f>IF($F$8=list!$B$5,SUBSTITUTE($M46,".pdf",""),IF($H$8="","",IF($F$8=list!$B$1,$H$8,IF($F$8=list!$B$2,$O46,IF($F$8=list!$B$3,$H$8&amp;$O46,IF($F$8=list!$B$4,$O46&amp;$H$8,""))))))</f>
        <v/>
      </c>
      <c r="R46" s="34"/>
      <c r="S46" s="34"/>
      <c r="T46" s="35"/>
      <c r="U46" s="36" t="str">
        <f t="shared" si="0"/>
        <v/>
      </c>
      <c r="V46" s="34"/>
      <c r="W46" s="34"/>
      <c r="X46" s="37"/>
      <c r="Y46" s="32"/>
      <c r="Z46" s="33"/>
      <c r="AA46" s="34" t="str">
        <f>IF($F$10=list!$B$5,SUBSTITUTE($M46,".pdf",""),IF($H$10="","",IF($F$10=list!$B$1,$H$10,IF($F$10=list!$B$2,$Y46,IF($F$10=list!$B$3,$H$10&amp;$Y46,IF($F$10=list!$B$4,$Y46&amp;$H$10,""))))))</f>
        <v/>
      </c>
      <c r="AB46" s="34"/>
      <c r="AC46" s="34"/>
      <c r="AD46" s="35"/>
      <c r="AE46" s="36" t="str">
        <f t="shared" si="1"/>
        <v/>
      </c>
      <c r="AF46" s="34"/>
      <c r="AG46" s="34"/>
      <c r="AH46" s="38"/>
      <c r="AI46" s="39" t="str">
        <f t="shared" si="2"/>
        <v/>
      </c>
      <c r="AJ46" s="40"/>
      <c r="AK46" s="39" t="str">
        <f t="shared" si="3"/>
        <v/>
      </c>
      <c r="AL46" s="41"/>
    </row>
    <row r="47" spans="13:38" x14ac:dyDescent="0.45">
      <c r="M47" s="30"/>
      <c r="N47" s="31"/>
      <c r="O47" s="32"/>
      <c r="P47" s="33"/>
      <c r="Q47" s="34" t="str">
        <f>IF($F$8=list!$B$5,SUBSTITUTE($M47,".pdf",""),IF($H$8="","",IF($F$8=list!$B$1,$H$8,IF($F$8=list!$B$2,$O47,IF($F$8=list!$B$3,$H$8&amp;$O47,IF($F$8=list!$B$4,$O47&amp;$H$8,""))))))</f>
        <v/>
      </c>
      <c r="R47" s="34"/>
      <c r="S47" s="34"/>
      <c r="T47" s="35"/>
      <c r="U47" s="36" t="str">
        <f t="shared" si="0"/>
        <v/>
      </c>
      <c r="V47" s="34"/>
      <c r="W47" s="34"/>
      <c r="X47" s="37"/>
      <c r="Y47" s="32"/>
      <c r="Z47" s="33"/>
      <c r="AA47" s="34" t="str">
        <f>IF($F$10=list!$B$5,SUBSTITUTE($M47,".pdf",""),IF($H$10="","",IF($F$10=list!$B$1,$H$10,IF($F$10=list!$B$2,$Y47,IF($F$10=list!$B$3,$H$10&amp;$Y47,IF($F$10=list!$B$4,$Y47&amp;$H$10,""))))))</f>
        <v/>
      </c>
      <c r="AB47" s="34"/>
      <c r="AC47" s="34"/>
      <c r="AD47" s="35"/>
      <c r="AE47" s="36" t="str">
        <f t="shared" si="1"/>
        <v/>
      </c>
      <c r="AF47" s="34"/>
      <c r="AG47" s="34"/>
      <c r="AH47" s="38"/>
      <c r="AI47" s="39" t="str">
        <f t="shared" si="2"/>
        <v/>
      </c>
      <c r="AJ47" s="40"/>
      <c r="AK47" s="39" t="str">
        <f t="shared" si="3"/>
        <v/>
      </c>
      <c r="AL47" s="41"/>
    </row>
    <row r="48" spans="13:38" x14ac:dyDescent="0.45">
      <c r="M48" s="30"/>
      <c r="N48" s="31"/>
      <c r="O48" s="32"/>
      <c r="P48" s="33"/>
      <c r="Q48" s="34" t="str">
        <f>IF($F$8=list!$B$5,SUBSTITUTE($M48,".pdf",""),IF($H$8="","",IF($F$8=list!$B$1,$H$8,IF($F$8=list!$B$2,$O48,IF($F$8=list!$B$3,$H$8&amp;$O48,IF($F$8=list!$B$4,$O48&amp;$H$8,""))))))</f>
        <v/>
      </c>
      <c r="R48" s="34"/>
      <c r="S48" s="34"/>
      <c r="T48" s="35"/>
      <c r="U48" s="36" t="str">
        <f t="shared" si="0"/>
        <v/>
      </c>
      <c r="V48" s="34"/>
      <c r="W48" s="34"/>
      <c r="X48" s="37"/>
      <c r="Y48" s="32"/>
      <c r="Z48" s="33"/>
      <c r="AA48" s="34" t="str">
        <f>IF($F$10=list!$B$5,SUBSTITUTE($M48,".pdf",""),IF($H$10="","",IF($F$10=list!$B$1,$H$10,IF($F$10=list!$B$2,$Y48,IF($F$10=list!$B$3,$H$10&amp;$Y48,IF($F$10=list!$B$4,$Y48&amp;$H$10,""))))))</f>
        <v/>
      </c>
      <c r="AB48" s="34"/>
      <c r="AC48" s="34"/>
      <c r="AD48" s="35"/>
      <c r="AE48" s="36" t="str">
        <f t="shared" si="1"/>
        <v/>
      </c>
      <c r="AF48" s="34"/>
      <c r="AG48" s="34"/>
      <c r="AH48" s="38"/>
      <c r="AI48" s="39" t="str">
        <f t="shared" si="2"/>
        <v/>
      </c>
      <c r="AJ48" s="40"/>
      <c r="AK48" s="39" t="str">
        <f t="shared" si="3"/>
        <v/>
      </c>
      <c r="AL48" s="41"/>
    </row>
    <row r="49" spans="13:38" x14ac:dyDescent="0.45">
      <c r="M49" s="30"/>
      <c r="N49" s="31"/>
      <c r="O49" s="32"/>
      <c r="P49" s="33"/>
      <c r="Q49" s="34" t="str">
        <f>IF($F$8=list!$B$5,SUBSTITUTE($M49,".pdf",""),IF($H$8="","",IF($F$8=list!$B$1,$H$8,IF($F$8=list!$B$2,$O49,IF($F$8=list!$B$3,$H$8&amp;$O49,IF($F$8=list!$B$4,$O49&amp;$H$8,""))))))</f>
        <v/>
      </c>
      <c r="R49" s="34"/>
      <c r="S49" s="34"/>
      <c r="T49" s="35"/>
      <c r="U49" s="36" t="str">
        <f t="shared" si="0"/>
        <v/>
      </c>
      <c r="V49" s="34"/>
      <c r="W49" s="34"/>
      <c r="X49" s="37"/>
      <c r="Y49" s="32"/>
      <c r="Z49" s="33"/>
      <c r="AA49" s="34" t="str">
        <f>IF($F$10=list!$B$5,SUBSTITUTE($M49,".pdf",""),IF($H$10="","",IF($F$10=list!$B$1,$H$10,IF($F$10=list!$B$2,$Y49,IF($F$10=list!$B$3,$H$10&amp;$Y49,IF($F$10=list!$B$4,$Y49&amp;$H$10,""))))))</f>
        <v/>
      </c>
      <c r="AB49" s="34"/>
      <c r="AC49" s="34"/>
      <c r="AD49" s="35"/>
      <c r="AE49" s="36" t="str">
        <f t="shared" si="1"/>
        <v/>
      </c>
      <c r="AF49" s="34"/>
      <c r="AG49" s="34"/>
      <c r="AH49" s="38"/>
      <c r="AI49" s="39" t="str">
        <f t="shared" si="2"/>
        <v/>
      </c>
      <c r="AJ49" s="40"/>
      <c r="AK49" s="39" t="str">
        <f t="shared" si="3"/>
        <v/>
      </c>
      <c r="AL49" s="41"/>
    </row>
    <row r="50" spans="13:38" x14ac:dyDescent="0.45">
      <c r="M50" s="30"/>
      <c r="N50" s="31"/>
      <c r="O50" s="32"/>
      <c r="P50" s="33"/>
      <c r="Q50" s="34" t="str">
        <f>IF($F$8=list!$B$5,SUBSTITUTE($M50,".pdf",""),IF($H$8="","",IF($F$8=list!$B$1,$H$8,IF($F$8=list!$B$2,$O50,IF($F$8=list!$B$3,$H$8&amp;$O50,IF($F$8=list!$B$4,$O50&amp;$H$8,""))))))</f>
        <v/>
      </c>
      <c r="R50" s="34"/>
      <c r="S50" s="34"/>
      <c r="T50" s="35"/>
      <c r="U50" s="36" t="str">
        <f t="shared" si="0"/>
        <v/>
      </c>
      <c r="V50" s="34"/>
      <c r="W50" s="34"/>
      <c r="X50" s="37"/>
      <c r="Y50" s="32"/>
      <c r="Z50" s="33"/>
      <c r="AA50" s="34" t="str">
        <f>IF($F$10=list!$B$5,SUBSTITUTE($M50,".pdf",""),IF($H$10="","",IF($F$10=list!$B$1,$H$10,IF($F$10=list!$B$2,$Y50,IF($F$10=list!$B$3,$H$10&amp;$Y50,IF($F$10=list!$B$4,$Y50&amp;$H$10,""))))))</f>
        <v/>
      </c>
      <c r="AB50" s="34"/>
      <c r="AC50" s="34"/>
      <c r="AD50" s="35"/>
      <c r="AE50" s="36" t="str">
        <f t="shared" si="1"/>
        <v/>
      </c>
      <c r="AF50" s="34"/>
      <c r="AG50" s="34"/>
      <c r="AH50" s="38"/>
      <c r="AI50" s="39" t="str">
        <f t="shared" si="2"/>
        <v/>
      </c>
      <c r="AJ50" s="40"/>
      <c r="AK50" s="39" t="str">
        <f t="shared" si="3"/>
        <v/>
      </c>
      <c r="AL50" s="41"/>
    </row>
    <row r="51" spans="13:38" x14ac:dyDescent="0.45">
      <c r="M51" s="30"/>
      <c r="N51" s="31"/>
      <c r="O51" s="32"/>
      <c r="P51" s="33"/>
      <c r="Q51" s="34" t="str">
        <f>IF($F$8=list!$B$5,SUBSTITUTE($M51,".pdf",""),IF($H$8="","",IF($F$8=list!$B$1,$H$8,IF($F$8=list!$B$2,$O51,IF($F$8=list!$B$3,$H$8&amp;$O51,IF($F$8=list!$B$4,$O51&amp;$H$8,""))))))</f>
        <v/>
      </c>
      <c r="R51" s="34"/>
      <c r="S51" s="34"/>
      <c r="T51" s="35"/>
      <c r="U51" s="36" t="str">
        <f t="shared" si="0"/>
        <v/>
      </c>
      <c r="V51" s="34"/>
      <c r="W51" s="34"/>
      <c r="X51" s="37"/>
      <c r="Y51" s="32"/>
      <c r="Z51" s="33"/>
      <c r="AA51" s="34" t="str">
        <f>IF($F$10=list!$B$5,SUBSTITUTE($M51,".pdf",""),IF($H$10="","",IF($F$10=list!$B$1,$H$10,IF($F$10=list!$B$2,$Y51,IF($F$10=list!$B$3,$H$10&amp;$Y51,IF($F$10=list!$B$4,$Y51&amp;$H$10,""))))))</f>
        <v/>
      </c>
      <c r="AB51" s="34"/>
      <c r="AC51" s="34"/>
      <c r="AD51" s="35"/>
      <c r="AE51" s="36" t="str">
        <f t="shared" si="1"/>
        <v/>
      </c>
      <c r="AF51" s="34"/>
      <c r="AG51" s="34"/>
      <c r="AH51" s="38"/>
      <c r="AI51" s="39" t="str">
        <f t="shared" si="2"/>
        <v/>
      </c>
      <c r="AJ51" s="40"/>
      <c r="AK51" s="39" t="str">
        <f t="shared" si="3"/>
        <v/>
      </c>
      <c r="AL51" s="41"/>
    </row>
    <row r="52" spans="13:38" x14ac:dyDescent="0.45">
      <c r="M52" s="30"/>
      <c r="N52" s="31"/>
      <c r="O52" s="32"/>
      <c r="P52" s="33"/>
      <c r="Q52" s="34" t="str">
        <f>IF($F$8=list!$B$5,SUBSTITUTE($M52,".pdf",""),IF($H$8="","",IF($F$8=list!$B$1,$H$8,IF($F$8=list!$B$2,$O52,IF($F$8=list!$B$3,$H$8&amp;$O52,IF($F$8=list!$B$4,$O52&amp;$H$8,""))))))</f>
        <v/>
      </c>
      <c r="R52" s="34"/>
      <c r="S52" s="34"/>
      <c r="T52" s="35"/>
      <c r="U52" s="36" t="str">
        <f t="shared" si="0"/>
        <v/>
      </c>
      <c r="V52" s="34"/>
      <c r="W52" s="34"/>
      <c r="X52" s="37"/>
      <c r="Y52" s="32"/>
      <c r="Z52" s="33"/>
      <c r="AA52" s="34" t="str">
        <f>IF($F$10=list!$B$5,SUBSTITUTE($M52,".pdf",""),IF($H$10="","",IF($F$10=list!$B$1,$H$10,IF($F$10=list!$B$2,$Y52,IF($F$10=list!$B$3,$H$10&amp;$Y52,IF($F$10=list!$B$4,$Y52&amp;$H$10,""))))))</f>
        <v/>
      </c>
      <c r="AB52" s="34"/>
      <c r="AC52" s="34"/>
      <c r="AD52" s="35"/>
      <c r="AE52" s="36" t="str">
        <f t="shared" si="1"/>
        <v/>
      </c>
      <c r="AF52" s="34"/>
      <c r="AG52" s="34"/>
      <c r="AH52" s="38"/>
      <c r="AI52" s="39" t="str">
        <f t="shared" si="2"/>
        <v/>
      </c>
      <c r="AJ52" s="40"/>
      <c r="AK52" s="39" t="str">
        <f t="shared" si="3"/>
        <v/>
      </c>
      <c r="AL52" s="41"/>
    </row>
    <row r="53" spans="13:38" x14ac:dyDescent="0.45">
      <c r="M53" s="30"/>
      <c r="N53" s="31"/>
      <c r="O53" s="32"/>
      <c r="P53" s="33"/>
      <c r="Q53" s="34" t="str">
        <f>IF($F$8=list!$B$5,SUBSTITUTE($M53,".pdf",""),IF($H$8="","",IF($F$8=list!$B$1,$H$8,IF($F$8=list!$B$2,$O53,IF($F$8=list!$B$3,$H$8&amp;$O53,IF($F$8=list!$B$4,$O53&amp;$H$8,""))))))</f>
        <v/>
      </c>
      <c r="R53" s="34"/>
      <c r="S53" s="34"/>
      <c r="T53" s="35"/>
      <c r="U53" s="36" t="str">
        <f t="shared" si="0"/>
        <v/>
      </c>
      <c r="V53" s="34"/>
      <c r="W53" s="34"/>
      <c r="X53" s="37"/>
      <c r="Y53" s="32"/>
      <c r="Z53" s="33"/>
      <c r="AA53" s="34" t="str">
        <f>IF($F$10=list!$B$5,SUBSTITUTE($M53,".pdf",""),IF($H$10="","",IF($F$10=list!$B$1,$H$10,IF($F$10=list!$B$2,$Y53,IF($F$10=list!$B$3,$H$10&amp;$Y53,IF($F$10=list!$B$4,$Y53&amp;$H$10,""))))))</f>
        <v/>
      </c>
      <c r="AB53" s="34"/>
      <c r="AC53" s="34"/>
      <c r="AD53" s="35"/>
      <c r="AE53" s="36" t="str">
        <f t="shared" si="1"/>
        <v/>
      </c>
      <c r="AF53" s="34"/>
      <c r="AG53" s="34"/>
      <c r="AH53" s="38"/>
      <c r="AI53" s="39" t="str">
        <f t="shared" si="2"/>
        <v/>
      </c>
      <c r="AJ53" s="40"/>
      <c r="AK53" s="39" t="str">
        <f t="shared" si="3"/>
        <v/>
      </c>
      <c r="AL53" s="41"/>
    </row>
    <row r="54" spans="13:38" x14ac:dyDescent="0.45">
      <c r="M54" s="30"/>
      <c r="N54" s="31"/>
      <c r="O54" s="32"/>
      <c r="P54" s="33"/>
      <c r="Q54" s="34" t="str">
        <f>IF($F$8=list!$B$5,SUBSTITUTE($M54,".pdf",""),IF($H$8="","",IF($F$8=list!$B$1,$H$8,IF($F$8=list!$B$2,$O54,IF($F$8=list!$B$3,$H$8&amp;$O54,IF($F$8=list!$B$4,$O54&amp;$H$8,""))))))</f>
        <v/>
      </c>
      <c r="R54" s="34"/>
      <c r="S54" s="34"/>
      <c r="T54" s="35"/>
      <c r="U54" s="36" t="str">
        <f t="shared" si="0"/>
        <v/>
      </c>
      <c r="V54" s="34"/>
      <c r="W54" s="34"/>
      <c r="X54" s="37"/>
      <c r="Y54" s="32"/>
      <c r="Z54" s="33"/>
      <c r="AA54" s="34" t="str">
        <f>IF($F$10=list!$B$5,SUBSTITUTE($M54,".pdf",""),IF($H$10="","",IF($F$10=list!$B$1,$H$10,IF($F$10=list!$B$2,$Y54,IF($F$10=list!$B$3,$H$10&amp;$Y54,IF($F$10=list!$B$4,$Y54&amp;$H$10,""))))))</f>
        <v/>
      </c>
      <c r="AB54" s="34"/>
      <c r="AC54" s="34"/>
      <c r="AD54" s="35"/>
      <c r="AE54" s="36" t="str">
        <f t="shared" si="1"/>
        <v/>
      </c>
      <c r="AF54" s="34"/>
      <c r="AG54" s="34"/>
      <c r="AH54" s="38"/>
      <c r="AI54" s="39" t="str">
        <f t="shared" si="2"/>
        <v/>
      </c>
      <c r="AJ54" s="40"/>
      <c r="AK54" s="39" t="str">
        <f t="shared" si="3"/>
        <v/>
      </c>
      <c r="AL54" s="41"/>
    </row>
    <row r="55" spans="13:38" ht="20.25" thickBot="1" x14ac:dyDescent="0.5">
      <c r="M55" s="18"/>
      <c r="N55" s="19"/>
      <c r="O55" s="20"/>
      <c r="P55" s="21"/>
      <c r="Q55" s="22" t="str">
        <f>IF($F$8=list!$B$5,SUBSTITUTE($M55,".pdf",""),IF($H$8="","",IF($F$8=list!$B$1,$H$8,IF($F$8=list!$B$2,$O55,IF($F$8=list!$B$3,$H$8&amp;$O55,IF($F$8=list!$B$4,$O55&amp;$H$8,""))))))</f>
        <v/>
      </c>
      <c r="R55" s="22"/>
      <c r="S55" s="22"/>
      <c r="T55" s="23"/>
      <c r="U55" s="24" t="str">
        <f t="shared" si="0"/>
        <v/>
      </c>
      <c r="V55" s="22"/>
      <c r="W55" s="22"/>
      <c r="X55" s="25"/>
      <c r="Y55" s="20"/>
      <c r="Z55" s="21"/>
      <c r="AA55" s="22" t="str">
        <f>IF($F$10=list!$B$5,SUBSTITUTE($M55,".pdf",""),IF($H$10="","",IF($F$10=list!$B$1,$H$10,IF($F$10=list!$B$2,$Y55,IF($F$10=list!$B$3,$H$10&amp;$Y55,IF($F$10=list!$B$4,$Y55&amp;$H$10,""))))))</f>
        <v/>
      </c>
      <c r="AB55" s="22"/>
      <c r="AC55" s="22"/>
      <c r="AD55" s="23"/>
      <c r="AE55" s="24" t="str">
        <f t="shared" si="1"/>
        <v/>
      </c>
      <c r="AF55" s="22"/>
      <c r="AG55" s="22"/>
      <c r="AH55" s="26"/>
      <c r="AI55" s="27" t="str">
        <f t="shared" si="2"/>
        <v/>
      </c>
      <c r="AJ55" s="28"/>
      <c r="AK55" s="27" t="str">
        <f t="shared" si="3"/>
        <v/>
      </c>
      <c r="AL55" s="29"/>
    </row>
    <row r="56" spans="13:38" ht="20.25" thickTop="1" x14ac:dyDescent="0.45"/>
  </sheetData>
  <mergeCells count="500">
    <mergeCell ref="AK25:AL25"/>
    <mergeCell ref="AI23:AJ23"/>
    <mergeCell ref="AI24:AJ24"/>
    <mergeCell ref="AI25:AJ25"/>
    <mergeCell ref="AK4:AL4"/>
    <mergeCell ref="AK5:AL5"/>
    <mergeCell ref="AK6:AL6"/>
    <mergeCell ref="AK7:AL7"/>
    <mergeCell ref="AK8:AL8"/>
    <mergeCell ref="AK9:AL9"/>
    <mergeCell ref="AK10:AL10"/>
    <mergeCell ref="AK11:AL11"/>
    <mergeCell ref="AK12:AL12"/>
    <mergeCell ref="AK13:AL13"/>
    <mergeCell ref="AK14:AL14"/>
    <mergeCell ref="AK15:AL15"/>
    <mergeCell ref="AK16:AL16"/>
    <mergeCell ref="AK17:AL17"/>
    <mergeCell ref="AK18:AL18"/>
    <mergeCell ref="AK19:AL19"/>
    <mergeCell ref="AK20:AL20"/>
    <mergeCell ref="AK21:AL21"/>
    <mergeCell ref="AK22:AL22"/>
    <mergeCell ref="AK23:AL23"/>
    <mergeCell ref="AK24:AL24"/>
    <mergeCell ref="AE22:AH22"/>
    <mergeCell ref="AE23:AH23"/>
    <mergeCell ref="AE24:AH24"/>
    <mergeCell ref="AE25:AH25"/>
    <mergeCell ref="AI4:AJ4"/>
    <mergeCell ref="AI5:AJ5"/>
    <mergeCell ref="AI6:AJ6"/>
    <mergeCell ref="AI7:AJ7"/>
    <mergeCell ref="AI8:AJ8"/>
    <mergeCell ref="AI9:AJ9"/>
    <mergeCell ref="AI10:AJ10"/>
    <mergeCell ref="AI11:AJ11"/>
    <mergeCell ref="AI12:AJ12"/>
    <mergeCell ref="AI13:AJ13"/>
    <mergeCell ref="AI14:AJ14"/>
    <mergeCell ref="AI15:AJ15"/>
    <mergeCell ref="AI16:AJ16"/>
    <mergeCell ref="AI17:AJ17"/>
    <mergeCell ref="AI18:AJ18"/>
    <mergeCell ref="AI19:AJ19"/>
    <mergeCell ref="AI20:AJ20"/>
    <mergeCell ref="AI21:AJ21"/>
    <mergeCell ref="AI22:AJ22"/>
    <mergeCell ref="AE13:AH13"/>
    <mergeCell ref="AE14:AH14"/>
    <mergeCell ref="AE15:AH15"/>
    <mergeCell ref="AE16:AH16"/>
    <mergeCell ref="AE17:AH17"/>
    <mergeCell ref="AE18:AH18"/>
    <mergeCell ref="AE19:AH19"/>
    <mergeCell ref="AE20:AH20"/>
    <mergeCell ref="AE21:AH21"/>
    <mergeCell ref="AE4:AH4"/>
    <mergeCell ref="AE5:AH5"/>
    <mergeCell ref="AE6:AH6"/>
    <mergeCell ref="AE7:AH7"/>
    <mergeCell ref="AE8:AH8"/>
    <mergeCell ref="AE9:AH9"/>
    <mergeCell ref="AE10:AH10"/>
    <mergeCell ref="AE11:AH11"/>
    <mergeCell ref="AE12:AH12"/>
    <mergeCell ref="Q15:T15"/>
    <mergeCell ref="U16:X16"/>
    <mergeCell ref="U15:X15"/>
    <mergeCell ref="Q16:T16"/>
    <mergeCell ref="U19:X19"/>
    <mergeCell ref="U18:X18"/>
    <mergeCell ref="U17:X17"/>
    <mergeCell ref="Q20:T20"/>
    <mergeCell ref="Q19:T19"/>
    <mergeCell ref="Q18:T18"/>
    <mergeCell ref="Q17:T17"/>
    <mergeCell ref="U20:X20"/>
    <mergeCell ref="O18:P18"/>
    <mergeCell ref="O17:P17"/>
    <mergeCell ref="O16:P16"/>
    <mergeCell ref="O15:P15"/>
    <mergeCell ref="C4:D4"/>
    <mergeCell ref="E4:K4"/>
    <mergeCell ref="C5:D5"/>
    <mergeCell ref="E5:K5"/>
    <mergeCell ref="M8:N8"/>
    <mergeCell ref="M7:N7"/>
    <mergeCell ref="M6:N6"/>
    <mergeCell ref="M5:N5"/>
    <mergeCell ref="M4:N4"/>
    <mergeCell ref="O4:P4"/>
    <mergeCell ref="F12:G12"/>
    <mergeCell ref="C8:D8"/>
    <mergeCell ref="C9:D9"/>
    <mergeCell ref="C10:D10"/>
    <mergeCell ref="C11:D11"/>
    <mergeCell ref="C12:D12"/>
    <mergeCell ref="C13:D13"/>
    <mergeCell ref="C14:D14"/>
    <mergeCell ref="C15:D15"/>
    <mergeCell ref="F13:G13"/>
    <mergeCell ref="H7:K7"/>
    <mergeCell ref="H8:K8"/>
    <mergeCell ref="H9:K9"/>
    <mergeCell ref="H10:K10"/>
    <mergeCell ref="H11:K11"/>
    <mergeCell ref="F8:G8"/>
    <mergeCell ref="F9:G9"/>
    <mergeCell ref="F10:G10"/>
    <mergeCell ref="F11:G11"/>
    <mergeCell ref="F7:G7"/>
    <mergeCell ref="H12:K12"/>
    <mergeCell ref="H13:K13"/>
    <mergeCell ref="C7:D7"/>
    <mergeCell ref="M12:N12"/>
    <mergeCell ref="M13:N13"/>
    <mergeCell ref="H14:K14"/>
    <mergeCell ref="H15:K15"/>
    <mergeCell ref="F14:G14"/>
    <mergeCell ref="F15:G15"/>
    <mergeCell ref="M24:N24"/>
    <mergeCell ref="M25:N25"/>
    <mergeCell ref="M19:N19"/>
    <mergeCell ref="M20:N20"/>
    <mergeCell ref="M21:N21"/>
    <mergeCell ref="M22:N22"/>
    <mergeCell ref="M23:N23"/>
    <mergeCell ref="M14:N14"/>
    <mergeCell ref="M15:N15"/>
    <mergeCell ref="M16:N16"/>
    <mergeCell ref="M17:N17"/>
    <mergeCell ref="M18:N18"/>
    <mergeCell ref="U7:X7"/>
    <mergeCell ref="U9:X9"/>
    <mergeCell ref="U10:X10"/>
    <mergeCell ref="U11:X11"/>
    <mergeCell ref="U6:X6"/>
    <mergeCell ref="U5:X5"/>
    <mergeCell ref="M9:N9"/>
    <mergeCell ref="M10:N10"/>
    <mergeCell ref="M11:N11"/>
    <mergeCell ref="O25:P25"/>
    <mergeCell ref="Q25:T25"/>
    <mergeCell ref="U25:X25"/>
    <mergeCell ref="U4:X4"/>
    <mergeCell ref="Q13:T13"/>
    <mergeCell ref="Q14:T14"/>
    <mergeCell ref="O10:P10"/>
    <mergeCell ref="O11:P11"/>
    <mergeCell ref="O12:P12"/>
    <mergeCell ref="O13:P13"/>
    <mergeCell ref="O14:P14"/>
    <mergeCell ref="Q4:T4"/>
    <mergeCell ref="Q5:T5"/>
    <mergeCell ref="Q6:T6"/>
    <mergeCell ref="Q7:T7"/>
    <mergeCell ref="Q8:T8"/>
    <mergeCell ref="Q9:T9"/>
    <mergeCell ref="Q10:T10"/>
    <mergeCell ref="Q11:T11"/>
    <mergeCell ref="Q12:T12"/>
    <mergeCell ref="O5:P5"/>
    <mergeCell ref="O6:P6"/>
    <mergeCell ref="O7:P7"/>
    <mergeCell ref="O8:P8"/>
    <mergeCell ref="O20:P20"/>
    <mergeCell ref="O21:P21"/>
    <mergeCell ref="Q24:T24"/>
    <mergeCell ref="Q23:T23"/>
    <mergeCell ref="Q22:T22"/>
    <mergeCell ref="Q21:T21"/>
    <mergeCell ref="Y8:Z8"/>
    <mergeCell ref="Y9:Z9"/>
    <mergeCell ref="Y10:Z10"/>
    <mergeCell ref="Y11:Z11"/>
    <mergeCell ref="Y12:Z12"/>
    <mergeCell ref="U21:X21"/>
    <mergeCell ref="U22:X22"/>
    <mergeCell ref="U23:X23"/>
    <mergeCell ref="U24:X24"/>
    <mergeCell ref="O22:P22"/>
    <mergeCell ref="O23:P23"/>
    <mergeCell ref="O24:P24"/>
    <mergeCell ref="O9:P9"/>
    <mergeCell ref="U12:X12"/>
    <mergeCell ref="U13:X13"/>
    <mergeCell ref="U14:X14"/>
    <mergeCell ref="U8:X8"/>
    <mergeCell ref="O19:P19"/>
    <mergeCell ref="Y4:Z4"/>
    <mergeCell ref="AA4:AD4"/>
    <mergeCell ref="Y5:Z5"/>
    <mergeCell ref="Y6:Z6"/>
    <mergeCell ref="Y7:Z7"/>
    <mergeCell ref="AA8:AD8"/>
    <mergeCell ref="AA7:AD7"/>
    <mergeCell ref="AA6:AD6"/>
    <mergeCell ref="AA5:AD5"/>
    <mergeCell ref="Y25:Z25"/>
    <mergeCell ref="AA17:AD17"/>
    <mergeCell ref="Y18:Z18"/>
    <mergeCell ref="Y19:Z19"/>
    <mergeCell ref="Y20:Z20"/>
    <mergeCell ref="Y21:Z21"/>
    <mergeCell ref="Y22:Z22"/>
    <mergeCell ref="Y13:Z13"/>
    <mergeCell ref="Y14:Z14"/>
    <mergeCell ref="Y15:Z15"/>
    <mergeCell ref="Y16:Z16"/>
    <mergeCell ref="Y17:Z17"/>
    <mergeCell ref="AA9:AD9"/>
    <mergeCell ref="AA10:AD10"/>
    <mergeCell ref="AA11:AD11"/>
    <mergeCell ref="AA12:AD12"/>
    <mergeCell ref="AA13:AD13"/>
    <mergeCell ref="AA14:AD14"/>
    <mergeCell ref="AA15:AD15"/>
    <mergeCell ref="AA16:AD16"/>
    <mergeCell ref="M26:N26"/>
    <mergeCell ref="O26:P26"/>
    <mergeCell ref="Q26:T26"/>
    <mergeCell ref="U26:X26"/>
    <mergeCell ref="Y26:Z26"/>
    <mergeCell ref="AA26:AD26"/>
    <mergeCell ref="AA23:AD23"/>
    <mergeCell ref="AA24:AD24"/>
    <mergeCell ref="AA25:AD25"/>
    <mergeCell ref="AA18:AD18"/>
    <mergeCell ref="AA19:AD19"/>
    <mergeCell ref="AA20:AD20"/>
    <mergeCell ref="AA21:AD21"/>
    <mergeCell ref="AA22:AD22"/>
    <mergeCell ref="Y23:Z23"/>
    <mergeCell ref="Y24:Z24"/>
    <mergeCell ref="AE26:AH26"/>
    <mergeCell ref="AI26:AJ26"/>
    <mergeCell ref="AK26:AL26"/>
    <mergeCell ref="M27:N27"/>
    <mergeCell ref="O27:P27"/>
    <mergeCell ref="Q27:T27"/>
    <mergeCell ref="U27:X27"/>
    <mergeCell ref="Y27:Z27"/>
    <mergeCell ref="AA27:AD27"/>
    <mergeCell ref="AE27:AH27"/>
    <mergeCell ref="AI27:AJ27"/>
    <mergeCell ref="AK27:AL27"/>
    <mergeCell ref="M28:N28"/>
    <mergeCell ref="O28:P28"/>
    <mergeCell ref="Q28:T28"/>
    <mergeCell ref="U28:X28"/>
    <mergeCell ref="Y28:Z28"/>
    <mergeCell ref="AA28:AD28"/>
    <mergeCell ref="AE28:AH28"/>
    <mergeCell ref="AI28:AJ28"/>
    <mergeCell ref="AK28:AL28"/>
    <mergeCell ref="M29:N29"/>
    <mergeCell ref="O29:P29"/>
    <mergeCell ref="Q29:T29"/>
    <mergeCell ref="U29:X29"/>
    <mergeCell ref="Y29:Z29"/>
    <mergeCell ref="AA29:AD29"/>
    <mergeCell ref="AE29:AH29"/>
    <mergeCell ref="AI29:AJ29"/>
    <mergeCell ref="AK29:AL29"/>
    <mergeCell ref="M30:N30"/>
    <mergeCell ref="O30:P30"/>
    <mergeCell ref="Q30:T30"/>
    <mergeCell ref="U30:X30"/>
    <mergeCell ref="Y30:Z30"/>
    <mergeCell ref="AA30:AD30"/>
    <mergeCell ref="AE30:AH30"/>
    <mergeCell ref="AI30:AJ30"/>
    <mergeCell ref="AK30:AL30"/>
    <mergeCell ref="M31:N31"/>
    <mergeCell ref="O31:P31"/>
    <mergeCell ref="Q31:T31"/>
    <mergeCell ref="U31:X31"/>
    <mergeCell ref="Y31:Z31"/>
    <mergeCell ref="AA31:AD31"/>
    <mergeCell ref="AE31:AH31"/>
    <mergeCell ref="AI31:AJ31"/>
    <mergeCell ref="AK31:AL31"/>
    <mergeCell ref="M32:N32"/>
    <mergeCell ref="O32:P32"/>
    <mergeCell ref="Q32:T32"/>
    <mergeCell ref="U32:X32"/>
    <mergeCell ref="Y32:Z32"/>
    <mergeCell ref="AA32:AD32"/>
    <mergeCell ref="AE32:AH32"/>
    <mergeCell ref="AI32:AJ32"/>
    <mergeCell ref="AK32:AL32"/>
    <mergeCell ref="M33:N33"/>
    <mergeCell ref="O33:P33"/>
    <mergeCell ref="Q33:T33"/>
    <mergeCell ref="U33:X33"/>
    <mergeCell ref="Y33:Z33"/>
    <mergeCell ref="AA33:AD33"/>
    <mergeCell ref="AE33:AH33"/>
    <mergeCell ref="AI33:AJ33"/>
    <mergeCell ref="AK33:AL33"/>
    <mergeCell ref="M34:N34"/>
    <mergeCell ref="O34:P34"/>
    <mergeCell ref="Q34:T34"/>
    <mergeCell ref="U34:X34"/>
    <mergeCell ref="Y34:Z34"/>
    <mergeCell ref="AA34:AD34"/>
    <mergeCell ref="AE34:AH34"/>
    <mergeCell ref="AI34:AJ34"/>
    <mergeCell ref="AK34:AL34"/>
    <mergeCell ref="M35:N35"/>
    <mergeCell ref="O35:P35"/>
    <mergeCell ref="Q35:T35"/>
    <mergeCell ref="U35:X35"/>
    <mergeCell ref="Y35:Z35"/>
    <mergeCell ref="AA35:AD35"/>
    <mergeCell ref="AE35:AH35"/>
    <mergeCell ref="AI35:AJ35"/>
    <mergeCell ref="AK35:AL35"/>
    <mergeCell ref="M36:N36"/>
    <mergeCell ref="O36:P36"/>
    <mergeCell ref="Q36:T36"/>
    <mergeCell ref="U36:X36"/>
    <mergeCell ref="Y36:Z36"/>
    <mergeCell ref="AA36:AD36"/>
    <mergeCell ref="AE36:AH36"/>
    <mergeCell ref="AI36:AJ36"/>
    <mergeCell ref="AK36:AL36"/>
    <mergeCell ref="M37:N37"/>
    <mergeCell ref="O37:P37"/>
    <mergeCell ref="Q37:T37"/>
    <mergeCell ref="U37:X37"/>
    <mergeCell ref="Y37:Z37"/>
    <mergeCell ref="AA37:AD37"/>
    <mergeCell ref="AE37:AH37"/>
    <mergeCell ref="AI37:AJ37"/>
    <mergeCell ref="AK37:AL37"/>
    <mergeCell ref="M38:N38"/>
    <mergeCell ref="O38:P38"/>
    <mergeCell ref="Q38:T38"/>
    <mergeCell ref="U38:X38"/>
    <mergeCell ref="Y38:Z38"/>
    <mergeCell ref="AA38:AD38"/>
    <mergeCell ref="AE38:AH38"/>
    <mergeCell ref="AI38:AJ38"/>
    <mergeCell ref="AK38:AL38"/>
    <mergeCell ref="M39:N39"/>
    <mergeCell ref="O39:P39"/>
    <mergeCell ref="Q39:T39"/>
    <mergeCell ref="U39:X39"/>
    <mergeCell ref="Y39:Z39"/>
    <mergeCell ref="AA39:AD39"/>
    <mergeCell ref="AE39:AH39"/>
    <mergeCell ref="AI39:AJ39"/>
    <mergeCell ref="AK39:AL39"/>
    <mergeCell ref="M40:N40"/>
    <mergeCell ref="O40:P40"/>
    <mergeCell ref="Q40:T40"/>
    <mergeCell ref="U40:X40"/>
    <mergeCell ref="Y40:Z40"/>
    <mergeCell ref="AA40:AD40"/>
    <mergeCell ref="AE40:AH40"/>
    <mergeCell ref="AI40:AJ40"/>
    <mergeCell ref="AK40:AL40"/>
    <mergeCell ref="M41:N41"/>
    <mergeCell ref="O41:P41"/>
    <mergeCell ref="Q41:T41"/>
    <mergeCell ref="U41:X41"/>
    <mergeCell ref="Y41:Z41"/>
    <mergeCell ref="AA41:AD41"/>
    <mergeCell ref="AE41:AH41"/>
    <mergeCell ref="AI41:AJ41"/>
    <mergeCell ref="AK41:AL41"/>
    <mergeCell ref="M42:N42"/>
    <mergeCell ref="O42:P42"/>
    <mergeCell ref="Q42:T42"/>
    <mergeCell ref="U42:X42"/>
    <mergeCell ref="Y42:Z42"/>
    <mergeCell ref="AA42:AD42"/>
    <mergeCell ref="AE42:AH42"/>
    <mergeCell ref="AI42:AJ42"/>
    <mergeCell ref="AK42:AL42"/>
    <mergeCell ref="M43:N43"/>
    <mergeCell ref="O43:P43"/>
    <mergeCell ref="Q43:T43"/>
    <mergeCell ref="U43:X43"/>
    <mergeCell ref="Y43:Z43"/>
    <mergeCell ref="AA43:AD43"/>
    <mergeCell ref="AE43:AH43"/>
    <mergeCell ref="AI43:AJ43"/>
    <mergeCell ref="AK43:AL43"/>
    <mergeCell ref="M44:N44"/>
    <mergeCell ref="O44:P44"/>
    <mergeCell ref="Q44:T44"/>
    <mergeCell ref="U44:X44"/>
    <mergeCell ref="Y44:Z44"/>
    <mergeCell ref="AA44:AD44"/>
    <mergeCell ref="AE44:AH44"/>
    <mergeCell ref="AI44:AJ44"/>
    <mergeCell ref="AK44:AL44"/>
    <mergeCell ref="M45:N45"/>
    <mergeCell ref="O45:P45"/>
    <mergeCell ref="Q45:T45"/>
    <mergeCell ref="U45:X45"/>
    <mergeCell ref="Y45:Z45"/>
    <mergeCell ref="AA45:AD45"/>
    <mergeCell ref="AE45:AH45"/>
    <mergeCell ref="AI45:AJ45"/>
    <mergeCell ref="AK45:AL45"/>
    <mergeCell ref="M46:N46"/>
    <mergeCell ref="O46:P46"/>
    <mergeCell ref="Q46:T46"/>
    <mergeCell ref="U46:X46"/>
    <mergeCell ref="Y46:Z46"/>
    <mergeCell ref="AA46:AD46"/>
    <mergeCell ref="AE46:AH46"/>
    <mergeCell ref="AI46:AJ46"/>
    <mergeCell ref="AK46:AL46"/>
    <mergeCell ref="M47:N47"/>
    <mergeCell ref="O47:P47"/>
    <mergeCell ref="Q47:T47"/>
    <mergeCell ref="U47:X47"/>
    <mergeCell ref="Y47:Z47"/>
    <mergeCell ref="AA47:AD47"/>
    <mergeCell ref="AE47:AH47"/>
    <mergeCell ref="AI47:AJ47"/>
    <mergeCell ref="AK47:AL47"/>
    <mergeCell ref="M48:N48"/>
    <mergeCell ref="O48:P48"/>
    <mergeCell ref="Q48:T48"/>
    <mergeCell ref="U48:X48"/>
    <mergeCell ref="Y48:Z48"/>
    <mergeCell ref="AA48:AD48"/>
    <mergeCell ref="AE48:AH48"/>
    <mergeCell ref="AI48:AJ48"/>
    <mergeCell ref="AK48:AL48"/>
    <mergeCell ref="M49:N49"/>
    <mergeCell ref="O49:P49"/>
    <mergeCell ref="Q49:T49"/>
    <mergeCell ref="U49:X49"/>
    <mergeCell ref="Y49:Z49"/>
    <mergeCell ref="AA49:AD49"/>
    <mergeCell ref="AE49:AH49"/>
    <mergeCell ref="AI49:AJ49"/>
    <mergeCell ref="AK49:AL49"/>
    <mergeCell ref="AI51:AJ51"/>
    <mergeCell ref="AK51:AL51"/>
    <mergeCell ref="M50:N50"/>
    <mergeCell ref="O50:P50"/>
    <mergeCell ref="Q50:T50"/>
    <mergeCell ref="U50:X50"/>
    <mergeCell ref="Y50:Z50"/>
    <mergeCell ref="AA50:AD50"/>
    <mergeCell ref="AE50:AH50"/>
    <mergeCell ref="AI50:AJ50"/>
    <mergeCell ref="AK50:AL50"/>
    <mergeCell ref="AK53:AL53"/>
    <mergeCell ref="M52:N52"/>
    <mergeCell ref="O52:P52"/>
    <mergeCell ref="Q52:T52"/>
    <mergeCell ref="U52:X52"/>
    <mergeCell ref="Y52:Z52"/>
    <mergeCell ref="AA52:AD52"/>
    <mergeCell ref="AE52:AH52"/>
    <mergeCell ref="AI52:AJ52"/>
    <mergeCell ref="AK52:AL52"/>
    <mergeCell ref="AK55:AL55"/>
    <mergeCell ref="M54:N54"/>
    <mergeCell ref="O54:P54"/>
    <mergeCell ref="Q54:T54"/>
    <mergeCell ref="U54:X54"/>
    <mergeCell ref="Y54:Z54"/>
    <mergeCell ref="AA54:AD54"/>
    <mergeCell ref="AE54:AH54"/>
    <mergeCell ref="AI54:AJ54"/>
    <mergeCell ref="AK54:AL54"/>
    <mergeCell ref="C1:K3"/>
    <mergeCell ref="M55:N55"/>
    <mergeCell ref="O55:P55"/>
    <mergeCell ref="Q55:T55"/>
    <mergeCell ref="U55:X55"/>
    <mergeCell ref="Y55:Z55"/>
    <mergeCell ref="AA55:AD55"/>
    <mergeCell ref="AE55:AH55"/>
    <mergeCell ref="AI55:AJ55"/>
    <mergeCell ref="M53:N53"/>
    <mergeCell ref="O53:P53"/>
    <mergeCell ref="Q53:T53"/>
    <mergeCell ref="U53:X53"/>
    <mergeCell ref="Y53:Z53"/>
    <mergeCell ref="AA53:AD53"/>
    <mergeCell ref="AE53:AH53"/>
    <mergeCell ref="AI53:AJ53"/>
    <mergeCell ref="M51:N51"/>
    <mergeCell ref="O51:P51"/>
    <mergeCell ref="Q51:T51"/>
    <mergeCell ref="U51:X51"/>
    <mergeCell ref="Y51:Z51"/>
    <mergeCell ref="AA51:AD51"/>
    <mergeCell ref="AE51:AH51"/>
  </mergeCells>
  <phoneticPr fontId="1"/>
  <conditionalFormatting sqref="E8:E15 B4">
    <cfRule type="cellIs" dxfId="4" priority="6" operator="equal">
      <formula>FALSE</formula>
    </cfRule>
    <cfRule type="cellIs" dxfId="3" priority="7" operator="equal">
      <formula>TRUE</formula>
    </cfRule>
  </conditionalFormatting>
  <conditionalFormatting sqref="E4:K4">
    <cfRule type="containsBlanks" dxfId="2" priority="1">
      <formula>LEN(TRIM(E4))=0</formula>
    </cfRule>
  </conditionalFormatting>
  <dataValidations count="3">
    <dataValidation type="list" allowBlank="1" showInputMessage="1" showErrorMessage="1" sqref="C8:C18">
      <formula1>propertyname</formula1>
    </dataValidation>
    <dataValidation type="list" allowBlank="1" showInputMessage="1" showErrorMessage="1" sqref="B4 E8:E15">
      <formula1>flag</formula1>
    </dataValidation>
    <dataValidation type="list" allowBlank="1" showInputMessage="1" showErrorMessage="1" sqref="F8:G8 F10:G10">
      <formula1>TitleFlag</formula1>
    </dataValidation>
  </dataValidations>
  <pageMargins left="0.7" right="0.7" top="0.75" bottom="0.75" header="0.3" footer="0.3"/>
  <pageSetup paperSize="9"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 id="{78BFD650-1BF6-42AC-AC11-B49BA9E03FF3}">
            <xm:f>NOT(OR($F$8=list!$B$2,$F$8=list!$B$3,$F$8=list!$B$4))</xm:f>
            <x14:dxf>
              <fill>
                <patternFill>
                  <bgColor theme="1" tint="0.499984740745262"/>
                </patternFill>
              </fill>
            </x14:dxf>
          </x14:cfRule>
          <xm:sqref>O5:O55</xm:sqref>
        </x14:conditionalFormatting>
        <x14:conditionalFormatting xmlns:xm="http://schemas.microsoft.com/office/excel/2006/main">
          <x14:cfRule type="expression" priority="11" id="{A4C9ACDB-6B17-43DF-A112-79364A6B37CD}">
            <xm:f>NOT(OR($F$10=list!$B$2,$F$10=list!$B$3,$F$10=list!$B$4))</xm:f>
            <x14:dxf>
              <fill>
                <patternFill>
                  <bgColor theme="1" tint="0.499984740745262"/>
                </patternFill>
              </fill>
            </x14:dxf>
          </x14:cfRule>
          <xm:sqref>Y5:Y55</xm:sqref>
        </x14:conditionalFormatting>
      </x14:conditionalFormattings>
    </ext>
    <ext xmlns:x14="http://schemas.microsoft.com/office/spreadsheetml/2009/9/main" uri="{CCE6A557-97BC-4b89-ADB6-D9C93CAAB3DF}">
      <x14:dataValidations xmlns:xm="http://schemas.microsoft.com/office/excel/2006/main" count="2">
        <x14:dataValidation type="custom" allowBlank="1" showInputMessage="1" showErrorMessage="1">
          <x14:formula1>
            <xm:f>OR($F$8=list!$B$2,$F$8=list!$B$3,$F$8=list!$B$4)</xm:f>
          </x14:formula1>
          <xm:sqref>O5:O55 P6:P55</xm:sqref>
        </x14:dataValidation>
        <x14:dataValidation type="custom" allowBlank="1" showInputMessage="1" showErrorMessage="1">
          <x14:formula1>
            <xm:f>OR($F$10=list!$B$2,$F$10=list!$B$3,$F$10=list!$B$4)</xm:f>
          </x14:formula1>
          <xm:sqref>Y5:Z55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25"/>
  <sheetViews>
    <sheetView workbookViewId="0">
      <selection activeCell="B9" sqref="B9"/>
    </sheetView>
  </sheetViews>
  <sheetFormatPr defaultRowHeight="19.5" x14ac:dyDescent="0.45"/>
  <cols>
    <col min="1" max="1" width="2.3984375" bestFit="1" customWidth="1"/>
  </cols>
  <sheetData>
    <row r="1" spans="1:4" x14ac:dyDescent="0.45">
      <c r="B1" t="s">
        <v>55</v>
      </c>
    </row>
    <row r="3" spans="1:4" x14ac:dyDescent="0.45">
      <c r="B3" t="s">
        <v>56</v>
      </c>
    </row>
    <row r="4" spans="1:4" x14ac:dyDescent="0.45">
      <c r="B4" t="s">
        <v>57</v>
      </c>
    </row>
    <row r="5" spans="1:4" x14ac:dyDescent="0.45">
      <c r="B5" t="s">
        <v>58</v>
      </c>
    </row>
    <row r="7" spans="1:4" x14ac:dyDescent="0.45">
      <c r="B7" s="15" t="s">
        <v>85</v>
      </c>
      <c r="C7" s="15" t="s">
        <v>67</v>
      </c>
      <c r="D7" s="15" t="s">
        <v>93</v>
      </c>
    </row>
    <row r="8" spans="1:4" x14ac:dyDescent="0.45">
      <c r="B8" s="13"/>
      <c r="C8" s="13"/>
    </row>
    <row r="9" spans="1:4" x14ac:dyDescent="0.45">
      <c r="B9" t="s">
        <v>59</v>
      </c>
    </row>
    <row r="10" spans="1:4" x14ac:dyDescent="0.45">
      <c r="A10">
        <v>1</v>
      </c>
      <c r="B10" t="s">
        <v>60</v>
      </c>
    </row>
    <row r="11" spans="1:4" x14ac:dyDescent="0.45">
      <c r="A11">
        <v>2</v>
      </c>
      <c r="B11" t="s">
        <v>61</v>
      </c>
    </row>
    <row r="20" spans="1:2" x14ac:dyDescent="0.45">
      <c r="A20">
        <v>3</v>
      </c>
      <c r="B20" t="s">
        <v>62</v>
      </c>
    </row>
    <row r="34" spans="1:2" x14ac:dyDescent="0.45">
      <c r="A34">
        <v>4</v>
      </c>
      <c r="B34" t="s">
        <v>63</v>
      </c>
    </row>
    <row r="48" spans="1:2" x14ac:dyDescent="0.45">
      <c r="B48" t="s">
        <v>64</v>
      </c>
    </row>
    <row r="49" spans="2:2" x14ac:dyDescent="0.45">
      <c r="B49" t="s">
        <v>65</v>
      </c>
    </row>
    <row r="50" spans="2:2" x14ac:dyDescent="0.45">
      <c r="B50" s="13" t="s">
        <v>66</v>
      </c>
    </row>
    <row r="52" spans="2:2" x14ac:dyDescent="0.45">
      <c r="B52" t="s">
        <v>68</v>
      </c>
    </row>
    <row r="53" spans="2:2" x14ac:dyDescent="0.45">
      <c r="B53" t="s">
        <v>69</v>
      </c>
    </row>
    <row r="72" spans="2:2" x14ac:dyDescent="0.45">
      <c r="B72" t="s">
        <v>74</v>
      </c>
    </row>
    <row r="73" spans="2:2" x14ac:dyDescent="0.45">
      <c r="B73" t="s">
        <v>73</v>
      </c>
    </row>
    <row r="74" spans="2:2" x14ac:dyDescent="0.45">
      <c r="B74" t="s">
        <v>70</v>
      </c>
    </row>
    <row r="75" spans="2:2" x14ac:dyDescent="0.45">
      <c r="B75" t="s">
        <v>71</v>
      </c>
    </row>
    <row r="76" spans="2:2" x14ac:dyDescent="0.45">
      <c r="B76" t="s">
        <v>72</v>
      </c>
    </row>
    <row r="78" spans="2:2" x14ac:dyDescent="0.45">
      <c r="B78" t="s">
        <v>75</v>
      </c>
    </row>
    <row r="79" spans="2:2" x14ac:dyDescent="0.45">
      <c r="B79" t="s">
        <v>76</v>
      </c>
    </row>
    <row r="80" spans="2:2" x14ac:dyDescent="0.45">
      <c r="B80" t="s">
        <v>77</v>
      </c>
    </row>
    <row r="81" spans="1:2" x14ac:dyDescent="0.45">
      <c r="B81" s="14" t="s">
        <v>78</v>
      </c>
    </row>
    <row r="82" spans="1:2" x14ac:dyDescent="0.45">
      <c r="A82" t="s">
        <v>82</v>
      </c>
      <c r="B82" t="s">
        <v>79</v>
      </c>
    </row>
    <row r="83" spans="1:2" x14ac:dyDescent="0.45">
      <c r="B83" t="s">
        <v>80</v>
      </c>
    </row>
    <row r="84" spans="1:2" x14ac:dyDescent="0.45">
      <c r="B84" t="s">
        <v>81</v>
      </c>
    </row>
    <row r="85" spans="1:2" x14ac:dyDescent="0.45">
      <c r="A85" t="s">
        <v>82</v>
      </c>
      <c r="B85" t="s">
        <v>79</v>
      </c>
    </row>
    <row r="86" spans="1:2" x14ac:dyDescent="0.45">
      <c r="A86" t="s">
        <v>82</v>
      </c>
      <c r="B86" t="s">
        <v>83</v>
      </c>
    </row>
    <row r="87" spans="1:2" x14ac:dyDescent="0.45">
      <c r="B87" t="s">
        <v>84</v>
      </c>
    </row>
    <row r="88" spans="1:2" x14ac:dyDescent="0.45">
      <c r="B88" t="s">
        <v>86</v>
      </c>
    </row>
    <row r="89" spans="1:2" x14ac:dyDescent="0.45">
      <c r="B89" t="s">
        <v>87</v>
      </c>
    </row>
    <row r="90" spans="1:2" x14ac:dyDescent="0.45">
      <c r="B90" t="s">
        <v>88</v>
      </c>
    </row>
    <row r="91" spans="1:2" x14ac:dyDescent="0.45">
      <c r="B91" t="s">
        <v>89</v>
      </c>
    </row>
    <row r="92" spans="1:2" x14ac:dyDescent="0.45">
      <c r="B92" t="s">
        <v>90</v>
      </c>
    </row>
    <row r="93" spans="1:2" x14ac:dyDescent="0.45">
      <c r="B93" t="s">
        <v>91</v>
      </c>
    </row>
    <row r="94" spans="1:2" x14ac:dyDescent="0.45">
      <c r="B94" t="s">
        <v>92</v>
      </c>
    </row>
    <row r="96" spans="1:2" x14ac:dyDescent="0.45">
      <c r="B96" t="s">
        <v>94</v>
      </c>
    </row>
    <row r="109" spans="2:2" x14ac:dyDescent="0.45">
      <c r="B109" t="s">
        <v>95</v>
      </c>
    </row>
    <row r="110" spans="2:2" x14ac:dyDescent="0.45">
      <c r="B110" t="s">
        <v>96</v>
      </c>
    </row>
    <row r="111" spans="2:2" x14ac:dyDescent="0.45">
      <c r="B111" t="s">
        <v>97</v>
      </c>
    </row>
    <row r="113" spans="2:2" x14ac:dyDescent="0.45">
      <c r="B113" t="s">
        <v>98</v>
      </c>
    </row>
    <row r="114" spans="2:2" x14ac:dyDescent="0.45">
      <c r="B114" t="s">
        <v>99</v>
      </c>
    </row>
    <row r="115" spans="2:2" x14ac:dyDescent="0.45">
      <c r="B115" t="s">
        <v>100</v>
      </c>
    </row>
    <row r="116" spans="2:2" x14ac:dyDescent="0.45">
      <c r="B116" t="s">
        <v>101</v>
      </c>
    </row>
    <row r="117" spans="2:2" x14ac:dyDescent="0.45">
      <c r="B117" t="s">
        <v>102</v>
      </c>
    </row>
    <row r="118" spans="2:2" x14ac:dyDescent="0.45">
      <c r="B118" t="s">
        <v>103</v>
      </c>
    </row>
    <row r="120" spans="2:2" x14ac:dyDescent="0.45">
      <c r="B120" t="s">
        <v>104</v>
      </c>
    </row>
    <row r="121" spans="2:2" x14ac:dyDescent="0.45">
      <c r="B121" t="s">
        <v>105</v>
      </c>
    </row>
    <row r="122" spans="2:2" x14ac:dyDescent="0.45">
      <c r="B122" t="s">
        <v>106</v>
      </c>
    </row>
    <row r="124" spans="2:2" x14ac:dyDescent="0.45">
      <c r="B124" t="s">
        <v>107</v>
      </c>
    </row>
    <row r="125" spans="2:2" x14ac:dyDescent="0.45">
      <c r="B125" t="s">
        <v>108</v>
      </c>
    </row>
  </sheetData>
  <phoneticPr fontId="1"/>
  <hyperlinks>
    <hyperlink ref="B50" r:id="rId1"/>
    <hyperlink ref="B7" location="仕様書!B10" display="参照設定"/>
    <hyperlink ref="C7" location="仕様書!B53" display="動作設定"/>
    <hyperlink ref="D7" location="仕様書!B96" display="詳細設定"/>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5"/>
  <sheetViews>
    <sheetView workbookViewId="0">
      <selection activeCell="B1" sqref="B1"/>
    </sheetView>
  </sheetViews>
  <sheetFormatPr defaultRowHeight="19.5" x14ac:dyDescent="0.45"/>
  <cols>
    <col min="2" max="2" width="11.09765625" bestFit="1" customWidth="1"/>
  </cols>
  <sheetData>
    <row r="1" spans="1:2" x14ac:dyDescent="0.45">
      <c r="A1" t="b">
        <v>1</v>
      </c>
      <c r="B1" t="s">
        <v>42</v>
      </c>
    </row>
    <row r="2" spans="1:2" x14ac:dyDescent="0.45">
      <c r="A2" t="b">
        <v>0</v>
      </c>
      <c r="B2" t="s">
        <v>43</v>
      </c>
    </row>
    <row r="3" spans="1:2" x14ac:dyDescent="0.45">
      <c r="B3" t="s">
        <v>44</v>
      </c>
    </row>
    <row r="4" spans="1:2" x14ac:dyDescent="0.45">
      <c r="B4" t="s">
        <v>45</v>
      </c>
    </row>
    <row r="5" spans="1:2" x14ac:dyDescent="0.45">
      <c r="B5" t="s">
        <v>46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8"/>
  <sheetViews>
    <sheetView workbookViewId="0">
      <selection activeCell="A2" sqref="A2"/>
    </sheetView>
  </sheetViews>
  <sheetFormatPr defaultRowHeight="19.5" x14ac:dyDescent="0.45"/>
  <cols>
    <col min="1" max="1" width="14.59765625" bestFit="1" customWidth="1"/>
    <col min="2" max="2" width="11.69921875" bestFit="1" customWidth="1"/>
  </cols>
  <sheetData>
    <row r="1" spans="1:2" x14ac:dyDescent="0.45">
      <c r="A1" t="s">
        <v>17</v>
      </c>
      <c r="B1" t="s">
        <v>18</v>
      </c>
    </row>
    <row r="2" spans="1:2" x14ac:dyDescent="0.45">
      <c r="A2" t="s">
        <v>20</v>
      </c>
      <c r="B2" t="s">
        <v>21</v>
      </c>
    </row>
    <row r="3" spans="1:2" x14ac:dyDescent="0.45">
      <c r="A3" t="s">
        <v>23</v>
      </c>
      <c r="B3" t="s">
        <v>24</v>
      </c>
    </row>
    <row r="4" spans="1:2" x14ac:dyDescent="0.45">
      <c r="A4" t="s">
        <v>26</v>
      </c>
      <c r="B4" t="s">
        <v>27</v>
      </c>
    </row>
    <row r="5" spans="1:2" x14ac:dyDescent="0.45">
      <c r="A5" t="s">
        <v>29</v>
      </c>
      <c r="B5" t="s">
        <v>30</v>
      </c>
    </row>
    <row r="6" spans="1:2" x14ac:dyDescent="0.45">
      <c r="A6" t="s">
        <v>32</v>
      </c>
      <c r="B6" t="s">
        <v>33</v>
      </c>
    </row>
    <row r="7" spans="1:2" x14ac:dyDescent="0.45">
      <c r="A7" t="s">
        <v>35</v>
      </c>
      <c r="B7" t="s">
        <v>36</v>
      </c>
    </row>
    <row r="8" spans="1:2" x14ac:dyDescent="0.45">
      <c r="A8" t="s">
        <v>38</v>
      </c>
      <c r="B8" t="s">
        <v>39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
  <sheetViews>
    <sheetView workbookViewId="0">
      <selection activeCell="B4" sqref="B4"/>
    </sheetView>
  </sheetViews>
  <sheetFormatPr defaultRowHeight="19.5" x14ac:dyDescent="0.45"/>
  <cols>
    <col min="1" max="1" width="19.8984375" bestFit="1" customWidth="1"/>
    <col min="2" max="2" width="3.3984375" bestFit="1" customWidth="1"/>
    <col min="3" max="3" width="173.69921875" bestFit="1" customWidth="1"/>
  </cols>
  <sheetData>
    <row r="1" spans="1:3" x14ac:dyDescent="0.45">
      <c r="A1" s="1" t="s">
        <v>9</v>
      </c>
      <c r="B1" s="1">
        <v>1</v>
      </c>
      <c r="C1" t="s">
        <v>2</v>
      </c>
    </row>
    <row r="2" spans="1:3" x14ac:dyDescent="0.45">
      <c r="A2" t="s">
        <v>10</v>
      </c>
      <c r="B2">
        <v>16</v>
      </c>
      <c r="C2" t="s">
        <v>7</v>
      </c>
    </row>
    <row r="3" spans="1:3" x14ac:dyDescent="0.45">
      <c r="A3" t="s">
        <v>11</v>
      </c>
      <c r="B3">
        <v>32</v>
      </c>
      <c r="C3" t="s">
        <v>5</v>
      </c>
    </row>
    <row r="4" spans="1:3" x14ac:dyDescent="0.45">
      <c r="A4" s="1" t="s">
        <v>12</v>
      </c>
      <c r="B4" s="1">
        <v>2</v>
      </c>
      <c r="C4" t="s">
        <v>3</v>
      </c>
    </row>
    <row r="5" spans="1:3" x14ac:dyDescent="0.45">
      <c r="A5" s="1" t="s">
        <v>13</v>
      </c>
      <c r="B5" s="1">
        <v>0</v>
      </c>
      <c r="C5" t="s">
        <v>1</v>
      </c>
    </row>
    <row r="6" spans="1:3" ht="117" x14ac:dyDescent="0.45">
      <c r="A6" s="1" t="s">
        <v>14</v>
      </c>
      <c r="B6" s="1">
        <v>4</v>
      </c>
      <c r="C6" s="1" t="s">
        <v>6</v>
      </c>
    </row>
    <row r="7" spans="1:3" x14ac:dyDescent="0.45">
      <c r="A7" s="1" t="s">
        <v>15</v>
      </c>
      <c r="B7" s="1">
        <v>8</v>
      </c>
      <c r="C7" t="s">
        <v>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7</vt:i4>
      </vt:variant>
    </vt:vector>
  </HeadingPairs>
  <TitlesOfParts>
    <vt:vector size="12" baseType="lpstr">
      <vt:lpstr>info</vt:lpstr>
      <vt:lpstr>仕様書</vt:lpstr>
      <vt:lpstr>list</vt:lpstr>
      <vt:lpstr>propertylist</vt:lpstr>
      <vt:lpstr>savelist</vt:lpstr>
      <vt:lpstr>flag</vt:lpstr>
      <vt:lpstr>propertyname</vt:lpstr>
      <vt:lpstr>propertyvalue</vt:lpstr>
      <vt:lpstr>savediscription</vt:lpstr>
      <vt:lpstr>savetype</vt:lpstr>
      <vt:lpstr>savevalue</vt:lpstr>
      <vt:lpstr>TitleFlag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tci</dc:creator>
  <cp:lastModifiedBy>tci</cp:lastModifiedBy>
  <cp:lastPrinted>2016-05-10T07:42:34Z</cp:lastPrinted>
  <dcterms:created xsi:type="dcterms:W3CDTF">2016-05-10T07:35:08Z</dcterms:created>
  <dcterms:modified xsi:type="dcterms:W3CDTF">2016-05-29T11:14:46Z</dcterms:modified>
</cp:coreProperties>
</file>